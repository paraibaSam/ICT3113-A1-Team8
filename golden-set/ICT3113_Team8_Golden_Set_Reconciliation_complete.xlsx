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E9F76005-9676-4D32-A6ED-0EC0584EE8BC}" xr6:coauthVersionLast="47" xr6:coauthVersionMax="47" xr10:uidLastSave="{00000000-0000-0000-0000-000000000000}"/>
  <bookViews>
    <workbookView xWindow="-120" yWindow="-120" windowWidth="38640" windowHeight="21120" tabRatio="500" activeTab="7" xr2:uid="{00000000-000D-0000-FFFF-FFFF00000000}"/>
  </bookViews>
  <sheets>
    <sheet name="Golden Set" sheetId="1" r:id="rId1"/>
    <sheet name="Protocol" sheetId="2" r:id="rId2"/>
    <sheet name="Labeler 1" sheetId="5" r:id="rId3"/>
    <sheet name="Labeler 2" sheetId="6" r:id="rId4"/>
    <sheet name="Agreement" sheetId="7" r:id="rId5"/>
    <sheet name="Resolution Log" sheetId="8" r:id="rId6"/>
    <sheet name="Revision Log" sheetId="3" r:id="rId7"/>
    <sheet name="Consistency Check" sheetId="9" r:id="rId8"/>
  </sheets>
  <definedNames>
    <definedName name="_xlnm._FilterDatabase" localSheetId="7" hidden="1">'Consistency Check'!$A$4:$G$4</definedName>
    <definedName name="_xlnm._FilterDatabase" localSheetId="0" hidden="1">'Golden Set'!$A$4:$G$4</definedName>
    <definedName name="_xlnm._FilterDatabase" localSheetId="2" hidden="1">'Labeler 1'!$A$1:$D$1</definedName>
    <definedName name="_xlnm._FilterDatabase" localSheetId="3" hidden="1">'Labeler 2'!$A$1:$D$1</definedName>
    <definedName name="_xlnm._FilterDatabase" localSheetId="5" hidden="1">'Resolution Log'!$A$4:$J$4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15" i="9" l="1"/>
  <c r="C24" i="9"/>
  <c r="C27" i="9"/>
  <c r="C44" i="9"/>
  <c r="C28" i="9"/>
  <c r="C41" i="9"/>
  <c r="C31" i="9"/>
  <c r="C7" i="9"/>
  <c r="C14" i="9"/>
  <c r="C34" i="9"/>
  <c r="C43" i="9"/>
  <c r="C37" i="9"/>
  <c r="C33" i="9"/>
  <c r="C10" i="9"/>
  <c r="C23" i="9"/>
  <c r="C16" i="9"/>
  <c r="C38" i="9"/>
  <c r="C36" i="9"/>
  <c r="C32" i="9"/>
  <c r="C6" i="9"/>
  <c r="C18" i="9"/>
  <c r="C46" i="9"/>
  <c r="C20" i="9"/>
  <c r="C48" i="9"/>
  <c r="C25" i="9"/>
  <c r="C35" i="9"/>
  <c r="C11" i="9"/>
  <c r="C12" i="9"/>
  <c r="C19" i="9"/>
  <c r="C13" i="9"/>
  <c r="C45" i="9"/>
  <c r="C17" i="9"/>
  <c r="C9" i="9"/>
  <c r="C42" i="9"/>
  <c r="C5" i="9"/>
  <c r="C39" i="9"/>
  <c r="C40" i="9"/>
  <c r="C47" i="9"/>
  <c r="C30" i="9"/>
  <c r="C26" i="9"/>
  <c r="C21" i="9"/>
  <c r="C22" i="9"/>
  <c r="C29" i="9"/>
  <c r="C8" i="9"/>
  <c r="C26" i="8"/>
  <c r="F13" i="8"/>
  <c r="E13" i="8"/>
  <c r="D13" i="8"/>
  <c r="C13" i="8"/>
  <c r="F22" i="8"/>
  <c r="E22" i="8"/>
  <c r="D22" i="8"/>
  <c r="C22" i="8"/>
  <c r="F16" i="8"/>
  <c r="E16" i="8"/>
  <c r="D16" i="8"/>
  <c r="C16" i="8"/>
  <c r="F10" i="8"/>
  <c r="E10" i="8"/>
  <c r="D10" i="8"/>
  <c r="C10" i="8"/>
  <c r="F7" i="8"/>
  <c r="E7" i="8"/>
  <c r="D7" i="8"/>
  <c r="C7" i="8"/>
  <c r="F11" i="8"/>
  <c r="E11" i="8"/>
  <c r="D11" i="8"/>
  <c r="C11" i="8"/>
  <c r="F20" i="8"/>
  <c r="E20" i="8"/>
  <c r="D20" i="8"/>
  <c r="C20" i="8"/>
  <c r="F23" i="8"/>
  <c r="E23" i="8"/>
  <c r="D23" i="8"/>
  <c r="C23" i="8"/>
  <c r="F24" i="8"/>
  <c r="E24" i="8"/>
  <c r="D24" i="8"/>
  <c r="C24" i="8"/>
  <c r="F9" i="8"/>
  <c r="E9" i="8"/>
  <c r="D9" i="8"/>
  <c r="C9" i="8"/>
  <c r="F15" i="8"/>
  <c r="E15" i="8"/>
  <c r="D15" i="8"/>
  <c r="C15" i="8"/>
  <c r="F5" i="8"/>
  <c r="E5" i="8"/>
  <c r="D5" i="8"/>
  <c r="C5" i="8"/>
  <c r="F8" i="8"/>
  <c r="E8" i="8"/>
  <c r="D8" i="8"/>
  <c r="C8" i="8"/>
  <c r="F12" i="8"/>
  <c r="E12" i="8"/>
  <c r="D12" i="8"/>
  <c r="C12" i="8"/>
  <c r="F14" i="8"/>
  <c r="E14" i="8"/>
  <c r="D14" i="8"/>
  <c r="C14" i="8"/>
  <c r="F18" i="8"/>
  <c r="E18" i="8"/>
  <c r="D18" i="8"/>
  <c r="C18" i="8"/>
  <c r="F6" i="8"/>
  <c r="E6" i="8"/>
  <c r="D6" i="8"/>
  <c r="C6" i="8"/>
  <c r="F17" i="8"/>
  <c r="E17" i="8"/>
  <c r="D17" i="8"/>
  <c r="C17" i="8"/>
  <c r="F21" i="8"/>
  <c r="E21" i="8"/>
  <c r="D21" i="8"/>
  <c r="C21" i="8"/>
  <c r="F19" i="8"/>
  <c r="E19" i="8"/>
  <c r="D19" i="8"/>
  <c r="C19" i="8"/>
  <c r="H33" i="7"/>
  <c r="G33" i="7"/>
  <c r="F33" i="7"/>
  <c r="E33" i="7"/>
  <c r="D33" i="7"/>
  <c r="C33" i="7"/>
  <c r="B33" i="7"/>
  <c r="H32" i="7"/>
  <c r="G32" i="7"/>
  <c r="F32" i="7"/>
  <c r="E32" i="7"/>
  <c r="D32" i="7"/>
  <c r="C32" i="7"/>
  <c r="B32" i="7"/>
  <c r="H31" i="7"/>
  <c r="G31" i="7"/>
  <c r="F31" i="7"/>
  <c r="E31" i="7"/>
  <c r="D31" i="7"/>
  <c r="C31" i="7"/>
  <c r="B31" i="7"/>
  <c r="H30" i="7"/>
  <c r="G30" i="7"/>
  <c r="F30" i="7"/>
  <c r="E30" i="7"/>
  <c r="D30" i="7"/>
  <c r="C30" i="7"/>
  <c r="B30" i="7"/>
  <c r="H29" i="7"/>
  <c r="G29" i="7"/>
  <c r="F29" i="7"/>
  <c r="E29" i="7"/>
  <c r="D29" i="7"/>
  <c r="C29" i="7"/>
  <c r="B29" i="7"/>
  <c r="H28" i="7"/>
  <c r="G28" i="7"/>
  <c r="F28" i="7"/>
  <c r="E28" i="7"/>
  <c r="D28" i="7"/>
  <c r="C28" i="7"/>
  <c r="B28" i="7"/>
  <c r="H27" i="7"/>
  <c r="G27" i="7"/>
  <c r="F27" i="7"/>
  <c r="E27" i="7"/>
  <c r="D27" i="7"/>
  <c r="C27" i="7"/>
  <c r="B27" i="7"/>
  <c r="D22" i="7"/>
  <c r="C22" i="7"/>
  <c r="B22" i="7"/>
  <c r="D21" i="7"/>
  <c r="E21" i="7" s="1"/>
  <c r="C21" i="7"/>
  <c r="B21" i="7"/>
  <c r="D20" i="7"/>
  <c r="E20" i="7" s="1"/>
  <c r="C20" i="7"/>
  <c r="B20" i="7"/>
  <c r="D19" i="7"/>
  <c r="C19" i="7"/>
  <c r="B19" i="7"/>
  <c r="D18" i="7"/>
  <c r="E18" i="7" s="1"/>
  <c r="C18" i="7"/>
  <c r="B18" i="7"/>
  <c r="D17" i="7"/>
  <c r="E17" i="7" s="1"/>
  <c r="C17" i="7"/>
  <c r="B17" i="7"/>
  <c r="D16" i="7"/>
  <c r="E16" i="7" s="1"/>
  <c r="C16" i="7"/>
  <c r="B16" i="7"/>
  <c r="B5" i="7"/>
  <c r="B7" i="7" s="1"/>
  <c r="B4" i="7"/>
  <c r="D187" i="1"/>
  <c r="E184" i="1"/>
  <c r="C184" i="1"/>
  <c r="D184" i="1" s="1"/>
  <c r="B184" i="1"/>
  <c r="E183" i="1"/>
  <c r="C183" i="1"/>
  <c r="D183" i="1" s="1"/>
  <c r="B183" i="1"/>
  <c r="E182" i="1"/>
  <c r="C182" i="1"/>
  <c r="D182" i="1" s="1"/>
  <c r="B182" i="1"/>
  <c r="E181" i="1"/>
  <c r="C181" i="1"/>
  <c r="D181" i="1" s="1"/>
  <c r="B181" i="1"/>
  <c r="E180" i="1"/>
  <c r="C180" i="1"/>
  <c r="D180" i="1" s="1"/>
  <c r="B180" i="1"/>
  <c r="E179" i="1"/>
  <c r="C179" i="1"/>
  <c r="D179" i="1" s="1"/>
  <c r="B179" i="1"/>
  <c r="E178" i="1"/>
  <c r="C178" i="1"/>
  <c r="D178" i="1" s="1"/>
  <c r="B178" i="1"/>
  <c r="E177" i="1"/>
  <c r="C177" i="1"/>
  <c r="D177" i="1" s="1"/>
  <c r="B177" i="1"/>
  <c r="E176" i="1"/>
  <c r="C176" i="1"/>
  <c r="D176" i="1" s="1"/>
  <c r="B176" i="1"/>
  <c r="E175" i="1"/>
  <c r="C175" i="1"/>
  <c r="D175" i="1" s="1"/>
  <c r="B175" i="1"/>
  <c r="E174" i="1"/>
  <c r="C174" i="1"/>
  <c r="D174" i="1" s="1"/>
  <c r="B174" i="1"/>
  <c r="E173" i="1"/>
  <c r="C173" i="1"/>
  <c r="D173" i="1" s="1"/>
  <c r="B173" i="1"/>
  <c r="E172" i="1"/>
  <c r="C172" i="1"/>
  <c r="D172" i="1" s="1"/>
  <c r="B172" i="1"/>
  <c r="E171" i="1"/>
  <c r="C171" i="1"/>
  <c r="D171" i="1" s="1"/>
  <c r="B171" i="1"/>
  <c r="E170" i="1"/>
  <c r="C170" i="1"/>
  <c r="D170" i="1" s="1"/>
  <c r="B170" i="1"/>
  <c r="E169" i="1"/>
  <c r="C169" i="1"/>
  <c r="D169" i="1" s="1"/>
  <c r="B169" i="1"/>
  <c r="E168" i="1"/>
  <c r="C168" i="1"/>
  <c r="D168" i="1" s="1"/>
  <c r="B168" i="1"/>
  <c r="E167" i="1"/>
  <c r="C167" i="1"/>
  <c r="D167" i="1" s="1"/>
  <c r="B167" i="1"/>
  <c r="E166" i="1"/>
  <c r="C166" i="1"/>
  <c r="D166" i="1" s="1"/>
  <c r="B166" i="1"/>
  <c r="E165" i="1"/>
  <c r="C165" i="1"/>
  <c r="D165" i="1" s="1"/>
  <c r="B165" i="1"/>
  <c r="E164" i="1"/>
  <c r="C164" i="1"/>
  <c r="D164" i="1" s="1"/>
  <c r="B164" i="1"/>
  <c r="E163" i="1"/>
  <c r="C163" i="1"/>
  <c r="D163" i="1" s="1"/>
  <c r="B163" i="1"/>
  <c r="E162" i="1"/>
  <c r="C162" i="1"/>
  <c r="D162" i="1" s="1"/>
  <c r="B162" i="1"/>
  <c r="E161" i="1"/>
  <c r="D161" i="1"/>
  <c r="C161" i="1"/>
  <c r="B161" i="1"/>
  <c r="E160" i="1"/>
  <c r="D160" i="1"/>
  <c r="C160" i="1"/>
  <c r="B160" i="1"/>
  <c r="E159" i="1"/>
  <c r="D159" i="1"/>
  <c r="C159" i="1"/>
  <c r="B159" i="1"/>
  <c r="E158" i="1"/>
  <c r="D158" i="1"/>
  <c r="C158" i="1"/>
  <c r="B158" i="1"/>
  <c r="E157" i="1"/>
  <c r="D157" i="1"/>
  <c r="C157" i="1"/>
  <c r="B157" i="1"/>
  <c r="E156" i="1"/>
  <c r="C156" i="1"/>
  <c r="D156" i="1" s="1"/>
  <c r="B156" i="1"/>
  <c r="E155" i="1"/>
  <c r="C155" i="1"/>
  <c r="D155" i="1" s="1"/>
  <c r="B155" i="1"/>
  <c r="E154" i="1"/>
  <c r="C154" i="1"/>
  <c r="D154" i="1" s="1"/>
  <c r="B154" i="1"/>
  <c r="E153" i="1"/>
  <c r="C153" i="1"/>
  <c r="D153" i="1" s="1"/>
  <c r="B153" i="1"/>
  <c r="E152" i="1"/>
  <c r="C152" i="1"/>
  <c r="D152" i="1" s="1"/>
  <c r="B152" i="1"/>
  <c r="E151" i="1"/>
  <c r="C151" i="1"/>
  <c r="D151" i="1" s="1"/>
  <c r="B151" i="1"/>
  <c r="E150" i="1"/>
  <c r="C150" i="1"/>
  <c r="D150" i="1" s="1"/>
  <c r="B150" i="1"/>
  <c r="E149" i="1"/>
  <c r="C149" i="1"/>
  <c r="D149" i="1" s="1"/>
  <c r="B149" i="1"/>
  <c r="E148" i="1"/>
  <c r="C148" i="1"/>
  <c r="D148" i="1" s="1"/>
  <c r="B148" i="1"/>
  <c r="E147" i="1"/>
  <c r="C147" i="1"/>
  <c r="D147" i="1" s="1"/>
  <c r="B147" i="1"/>
  <c r="E146" i="1"/>
  <c r="C146" i="1"/>
  <c r="D146" i="1" s="1"/>
  <c r="B146" i="1"/>
  <c r="E145" i="1"/>
  <c r="C145" i="1"/>
  <c r="D145" i="1" s="1"/>
  <c r="B145" i="1"/>
  <c r="E144" i="1"/>
  <c r="C144" i="1"/>
  <c r="D144" i="1" s="1"/>
  <c r="B144" i="1"/>
  <c r="E143" i="1"/>
  <c r="C143" i="1"/>
  <c r="D143" i="1" s="1"/>
  <c r="B143" i="1"/>
  <c r="E142" i="1"/>
  <c r="C142" i="1"/>
  <c r="D142" i="1" s="1"/>
  <c r="B142" i="1"/>
  <c r="E141" i="1"/>
  <c r="C141" i="1"/>
  <c r="D141" i="1" s="1"/>
  <c r="B141" i="1"/>
  <c r="E140" i="1"/>
  <c r="C140" i="1"/>
  <c r="D140" i="1" s="1"/>
  <c r="B140" i="1"/>
  <c r="E139" i="1"/>
  <c r="C139" i="1"/>
  <c r="D139" i="1" s="1"/>
  <c r="B139" i="1"/>
  <c r="E138" i="1"/>
  <c r="C138" i="1"/>
  <c r="D138" i="1" s="1"/>
  <c r="B138" i="1"/>
  <c r="E137" i="1"/>
  <c r="C137" i="1"/>
  <c r="D137" i="1" s="1"/>
  <c r="B137" i="1"/>
  <c r="E136" i="1"/>
  <c r="C136" i="1"/>
  <c r="D136" i="1" s="1"/>
  <c r="B136" i="1"/>
  <c r="E135" i="1"/>
  <c r="C135" i="1"/>
  <c r="D135" i="1" s="1"/>
  <c r="B135" i="1"/>
  <c r="E134" i="1"/>
  <c r="C134" i="1"/>
  <c r="D134" i="1" s="1"/>
  <c r="B134" i="1"/>
  <c r="E133" i="1"/>
  <c r="C133" i="1"/>
  <c r="D133" i="1" s="1"/>
  <c r="B133" i="1"/>
  <c r="E132" i="1"/>
  <c r="D132" i="1"/>
  <c r="C132" i="1"/>
  <c r="B132" i="1"/>
  <c r="E131" i="1"/>
  <c r="C131" i="1"/>
  <c r="D131" i="1" s="1"/>
  <c r="B131" i="1"/>
  <c r="E130" i="1"/>
  <c r="C130" i="1"/>
  <c r="D130" i="1" s="1"/>
  <c r="B130" i="1"/>
  <c r="E129" i="1"/>
  <c r="C129" i="1"/>
  <c r="D129" i="1" s="1"/>
  <c r="B129" i="1"/>
  <c r="E128" i="1"/>
  <c r="C128" i="1"/>
  <c r="D128" i="1" s="1"/>
  <c r="B128" i="1"/>
  <c r="E127" i="1"/>
  <c r="D127" i="1"/>
  <c r="C127" i="1"/>
  <c r="B127" i="1"/>
  <c r="E126" i="1"/>
  <c r="D126" i="1"/>
  <c r="C126" i="1"/>
  <c r="B126" i="1"/>
  <c r="E125" i="1"/>
  <c r="D125" i="1"/>
  <c r="C125" i="1"/>
  <c r="B125" i="1"/>
  <c r="E124" i="1"/>
  <c r="D124" i="1"/>
  <c r="C124" i="1"/>
  <c r="B124" i="1"/>
  <c r="E123" i="1"/>
  <c r="D123" i="1"/>
  <c r="C123" i="1"/>
  <c r="B123" i="1"/>
  <c r="E122" i="1"/>
  <c r="D122" i="1"/>
  <c r="C122" i="1"/>
  <c r="B122" i="1"/>
  <c r="E121" i="1"/>
  <c r="D121" i="1"/>
  <c r="C121" i="1"/>
  <c r="B121" i="1"/>
  <c r="E120" i="1"/>
  <c r="C120" i="1"/>
  <c r="D120" i="1" s="1"/>
  <c r="B120" i="1"/>
  <c r="E119" i="1"/>
  <c r="D119" i="1"/>
  <c r="C119" i="1"/>
  <c r="B119" i="1"/>
  <c r="E118" i="1"/>
  <c r="C118" i="1"/>
  <c r="D118" i="1" s="1"/>
  <c r="B118" i="1"/>
  <c r="E117" i="1"/>
  <c r="C117" i="1"/>
  <c r="D117" i="1" s="1"/>
  <c r="B117" i="1"/>
  <c r="E116" i="1"/>
  <c r="C116" i="1"/>
  <c r="D116" i="1" s="1"/>
  <c r="B116" i="1"/>
  <c r="E115" i="1"/>
  <c r="C115" i="1"/>
  <c r="D115" i="1" s="1"/>
  <c r="B115" i="1"/>
  <c r="E114" i="1"/>
  <c r="C114" i="1"/>
  <c r="D114" i="1" s="1"/>
  <c r="B114" i="1"/>
  <c r="E113" i="1"/>
  <c r="C113" i="1"/>
  <c r="D113" i="1" s="1"/>
  <c r="B113" i="1"/>
  <c r="E112" i="1"/>
  <c r="C112" i="1"/>
  <c r="D112" i="1" s="1"/>
  <c r="B112" i="1"/>
  <c r="E111" i="1"/>
  <c r="D111" i="1"/>
  <c r="C111" i="1"/>
  <c r="B111" i="1"/>
  <c r="E110" i="1"/>
  <c r="C110" i="1"/>
  <c r="D110" i="1" s="1"/>
  <c r="B110" i="1"/>
  <c r="E109" i="1"/>
  <c r="C109" i="1"/>
  <c r="D109" i="1" s="1"/>
  <c r="B109" i="1"/>
  <c r="E108" i="1"/>
  <c r="C108" i="1"/>
  <c r="D108" i="1" s="1"/>
  <c r="B108" i="1"/>
  <c r="E107" i="1"/>
  <c r="C107" i="1"/>
  <c r="D107" i="1" s="1"/>
  <c r="B107" i="1"/>
  <c r="E106" i="1"/>
  <c r="D106" i="1"/>
  <c r="C106" i="1"/>
  <c r="B106" i="1"/>
  <c r="E105" i="1"/>
  <c r="C105" i="1"/>
  <c r="D105" i="1" s="1"/>
  <c r="B105" i="1"/>
  <c r="E104" i="1"/>
  <c r="C104" i="1"/>
  <c r="D104" i="1" s="1"/>
  <c r="B104" i="1"/>
  <c r="E103" i="1"/>
  <c r="C103" i="1"/>
  <c r="D103" i="1" s="1"/>
  <c r="B103" i="1"/>
  <c r="E102" i="1"/>
  <c r="D102" i="1"/>
  <c r="C102" i="1"/>
  <c r="B102" i="1"/>
  <c r="E101" i="1"/>
  <c r="C101" i="1"/>
  <c r="D101" i="1" s="1"/>
  <c r="B101" i="1"/>
  <c r="E100" i="1"/>
  <c r="C100" i="1"/>
  <c r="D100" i="1" s="1"/>
  <c r="B100" i="1"/>
  <c r="E99" i="1"/>
  <c r="C99" i="1"/>
  <c r="D99" i="1" s="1"/>
  <c r="B99" i="1"/>
  <c r="E98" i="1"/>
  <c r="C98" i="1"/>
  <c r="D98" i="1" s="1"/>
  <c r="B98" i="1"/>
  <c r="E97" i="1"/>
  <c r="C97" i="1"/>
  <c r="D97" i="1" s="1"/>
  <c r="B97" i="1"/>
  <c r="E96" i="1"/>
  <c r="C96" i="1"/>
  <c r="D96" i="1" s="1"/>
  <c r="B96" i="1"/>
  <c r="E95" i="1"/>
  <c r="D95" i="1"/>
  <c r="C95" i="1"/>
  <c r="B95" i="1"/>
  <c r="E94" i="1"/>
  <c r="C94" i="1"/>
  <c r="D94" i="1" s="1"/>
  <c r="B94" i="1"/>
  <c r="E93" i="1"/>
  <c r="C93" i="1"/>
  <c r="D93" i="1" s="1"/>
  <c r="B93" i="1"/>
  <c r="E92" i="1"/>
  <c r="D92" i="1"/>
  <c r="C92" i="1"/>
  <c r="B92" i="1"/>
  <c r="E91" i="1"/>
  <c r="C91" i="1"/>
  <c r="D91" i="1" s="1"/>
  <c r="B91" i="1"/>
  <c r="E90" i="1"/>
  <c r="C90" i="1"/>
  <c r="D90" i="1" s="1"/>
  <c r="B90" i="1"/>
  <c r="E89" i="1"/>
  <c r="D89" i="1"/>
  <c r="C89" i="1"/>
  <c r="B89" i="1"/>
  <c r="E88" i="1"/>
  <c r="C88" i="1"/>
  <c r="D88" i="1" s="1"/>
  <c r="B88" i="1"/>
  <c r="E87" i="1"/>
  <c r="C87" i="1"/>
  <c r="D87" i="1" s="1"/>
  <c r="B87" i="1"/>
  <c r="E86" i="1"/>
  <c r="C86" i="1"/>
  <c r="D86" i="1" s="1"/>
  <c r="B86" i="1"/>
  <c r="E85" i="1"/>
  <c r="C85" i="1"/>
  <c r="D85" i="1" s="1"/>
  <c r="B85" i="1"/>
  <c r="E84" i="1"/>
  <c r="C84" i="1"/>
  <c r="D84" i="1" s="1"/>
  <c r="B84" i="1"/>
  <c r="E83" i="1"/>
  <c r="C83" i="1"/>
  <c r="D83" i="1" s="1"/>
  <c r="B83" i="1"/>
  <c r="E82" i="1"/>
  <c r="D82" i="1"/>
  <c r="C82" i="1"/>
  <c r="B82" i="1"/>
  <c r="E81" i="1"/>
  <c r="C81" i="1"/>
  <c r="D81" i="1" s="1"/>
  <c r="B81" i="1"/>
  <c r="E80" i="1"/>
  <c r="C80" i="1"/>
  <c r="D80" i="1" s="1"/>
  <c r="B80" i="1"/>
  <c r="E79" i="1"/>
  <c r="C79" i="1"/>
  <c r="D79" i="1" s="1"/>
  <c r="B79" i="1"/>
  <c r="E78" i="1"/>
  <c r="C78" i="1"/>
  <c r="D78" i="1" s="1"/>
  <c r="B78" i="1"/>
  <c r="E77" i="1"/>
  <c r="C77" i="1"/>
  <c r="D77" i="1" s="1"/>
  <c r="B77" i="1"/>
  <c r="E76" i="1"/>
  <c r="C76" i="1"/>
  <c r="D76" i="1" s="1"/>
  <c r="B76" i="1"/>
  <c r="E75" i="1"/>
  <c r="C75" i="1"/>
  <c r="D75" i="1" s="1"/>
  <c r="B75" i="1"/>
  <c r="E74" i="1"/>
  <c r="C74" i="1"/>
  <c r="D74" i="1" s="1"/>
  <c r="B74" i="1"/>
  <c r="E73" i="1"/>
  <c r="D73" i="1"/>
  <c r="C73" i="1"/>
  <c r="B73" i="1"/>
  <c r="E72" i="1"/>
  <c r="C72" i="1"/>
  <c r="D72" i="1" s="1"/>
  <c r="B72" i="1"/>
  <c r="E71" i="1"/>
  <c r="C71" i="1"/>
  <c r="D71" i="1" s="1"/>
  <c r="B71" i="1"/>
  <c r="E70" i="1"/>
  <c r="C70" i="1"/>
  <c r="D70" i="1" s="1"/>
  <c r="B70" i="1"/>
  <c r="E69" i="1"/>
  <c r="D69" i="1"/>
  <c r="C69" i="1"/>
  <c r="B69" i="1"/>
  <c r="E68" i="1"/>
  <c r="D68" i="1"/>
  <c r="C68" i="1"/>
  <c r="B68" i="1"/>
  <c r="E67" i="1"/>
  <c r="D67" i="1"/>
  <c r="C67" i="1"/>
  <c r="B67" i="1"/>
  <c r="E66" i="1"/>
  <c r="C66" i="1"/>
  <c r="D66" i="1" s="1"/>
  <c r="B66" i="1"/>
  <c r="E65" i="1"/>
  <c r="D65" i="1"/>
  <c r="C65" i="1"/>
  <c r="B65" i="1"/>
  <c r="E64" i="1"/>
  <c r="D64" i="1"/>
  <c r="C64" i="1"/>
  <c r="B64" i="1"/>
  <c r="E63" i="1"/>
  <c r="C63" i="1"/>
  <c r="D63" i="1" s="1"/>
  <c r="B63" i="1"/>
  <c r="E62" i="1"/>
  <c r="D62" i="1"/>
  <c r="C62" i="1"/>
  <c r="B62" i="1"/>
  <c r="E61" i="1"/>
  <c r="C61" i="1"/>
  <c r="D61" i="1" s="1"/>
  <c r="B61" i="1"/>
  <c r="E60" i="1"/>
  <c r="C60" i="1"/>
  <c r="D60" i="1" s="1"/>
  <c r="B60" i="1"/>
  <c r="E59" i="1"/>
  <c r="C59" i="1"/>
  <c r="D59" i="1" s="1"/>
  <c r="B59" i="1"/>
  <c r="E58" i="1"/>
  <c r="C58" i="1"/>
  <c r="D58" i="1" s="1"/>
  <c r="B58" i="1"/>
  <c r="E57" i="1"/>
  <c r="C57" i="1"/>
  <c r="D57" i="1" s="1"/>
  <c r="B57" i="1"/>
  <c r="E56" i="1"/>
  <c r="C56" i="1"/>
  <c r="D56" i="1" s="1"/>
  <c r="B56" i="1"/>
  <c r="E55" i="1"/>
  <c r="C55" i="1"/>
  <c r="D55" i="1" s="1"/>
  <c r="B55" i="1"/>
  <c r="E54" i="1"/>
  <c r="C54" i="1"/>
  <c r="D54" i="1" s="1"/>
  <c r="B54" i="1"/>
  <c r="E53" i="1"/>
  <c r="D53" i="1"/>
  <c r="C53" i="1"/>
  <c r="B53" i="1"/>
  <c r="E52" i="1"/>
  <c r="C52" i="1"/>
  <c r="D52" i="1" s="1"/>
  <c r="B52" i="1"/>
  <c r="E51" i="1"/>
  <c r="C51" i="1"/>
  <c r="D51" i="1" s="1"/>
  <c r="B51" i="1"/>
  <c r="E50" i="1"/>
  <c r="C50" i="1"/>
  <c r="D50" i="1" s="1"/>
  <c r="B50" i="1"/>
  <c r="E49" i="1"/>
  <c r="D49" i="1"/>
  <c r="C49" i="1"/>
  <c r="B49" i="1"/>
  <c r="E48" i="1"/>
  <c r="C48" i="1"/>
  <c r="D48" i="1" s="1"/>
  <c r="B48" i="1"/>
  <c r="E47" i="1"/>
  <c r="C47" i="1"/>
  <c r="D47" i="1" s="1"/>
  <c r="B47" i="1"/>
  <c r="E46" i="1"/>
  <c r="C46" i="1"/>
  <c r="D46" i="1" s="1"/>
  <c r="B46" i="1"/>
  <c r="E45" i="1"/>
  <c r="C45" i="1"/>
  <c r="D45" i="1" s="1"/>
  <c r="B45" i="1"/>
  <c r="E44" i="1"/>
  <c r="C44" i="1"/>
  <c r="D44" i="1" s="1"/>
  <c r="B44" i="1"/>
  <c r="E43" i="1"/>
  <c r="C43" i="1"/>
  <c r="D43" i="1" s="1"/>
  <c r="B43" i="1"/>
  <c r="E42" i="1"/>
  <c r="C42" i="1"/>
  <c r="D42" i="1" s="1"/>
  <c r="B42" i="1"/>
  <c r="E41" i="1"/>
  <c r="C41" i="1"/>
  <c r="D41" i="1" s="1"/>
  <c r="B41" i="1"/>
  <c r="E40" i="1"/>
  <c r="C40" i="1"/>
  <c r="D40" i="1" s="1"/>
  <c r="B40" i="1"/>
  <c r="E39" i="1"/>
  <c r="C39" i="1"/>
  <c r="D39" i="1" s="1"/>
  <c r="B39" i="1"/>
  <c r="E38" i="1"/>
  <c r="C38" i="1"/>
  <c r="D38" i="1" s="1"/>
  <c r="B38" i="1"/>
  <c r="E37" i="1"/>
  <c r="C37" i="1"/>
  <c r="D37" i="1" s="1"/>
  <c r="B37" i="1"/>
  <c r="E36" i="1"/>
  <c r="C36" i="1"/>
  <c r="D36" i="1" s="1"/>
  <c r="B36" i="1"/>
  <c r="E35" i="1"/>
  <c r="C35" i="1"/>
  <c r="D35" i="1" s="1"/>
  <c r="B35" i="1"/>
  <c r="E34" i="1"/>
  <c r="C34" i="1"/>
  <c r="D34" i="1" s="1"/>
  <c r="B34" i="1"/>
  <c r="E33" i="1"/>
  <c r="C33" i="1"/>
  <c r="D33" i="1" s="1"/>
  <c r="B33" i="1"/>
  <c r="E32" i="1"/>
  <c r="C32" i="1"/>
  <c r="D32" i="1" s="1"/>
  <c r="B32" i="1"/>
  <c r="E31" i="1"/>
  <c r="C31" i="1"/>
  <c r="D31" i="1" s="1"/>
  <c r="B31" i="1"/>
  <c r="E30" i="1"/>
  <c r="C30" i="1"/>
  <c r="D30" i="1" s="1"/>
  <c r="B30" i="1"/>
  <c r="E29" i="1"/>
  <c r="D29" i="1"/>
  <c r="C29" i="1"/>
  <c r="B29" i="1"/>
  <c r="E28" i="1"/>
  <c r="C28" i="1"/>
  <c r="D28" i="1" s="1"/>
  <c r="B28" i="1"/>
  <c r="E27" i="1"/>
  <c r="C27" i="1"/>
  <c r="D27" i="1" s="1"/>
  <c r="B27" i="1"/>
  <c r="E26" i="1"/>
  <c r="C26" i="1"/>
  <c r="D26" i="1" s="1"/>
  <c r="B26" i="1"/>
  <c r="E25" i="1"/>
  <c r="C25" i="1"/>
  <c r="D25" i="1" s="1"/>
  <c r="B25" i="1"/>
  <c r="E24" i="1"/>
  <c r="C24" i="1"/>
  <c r="D24" i="1" s="1"/>
  <c r="B24" i="1"/>
  <c r="E23" i="1"/>
  <c r="C23" i="1"/>
  <c r="D23" i="1" s="1"/>
  <c r="B23" i="1"/>
  <c r="E22" i="1"/>
  <c r="C22" i="1"/>
  <c r="D22" i="1" s="1"/>
  <c r="B22" i="1"/>
  <c r="E21" i="1"/>
  <c r="D21" i="1"/>
  <c r="C21" i="1"/>
  <c r="B21" i="1"/>
  <c r="E20" i="1"/>
  <c r="C20" i="1"/>
  <c r="D20" i="1" s="1"/>
  <c r="B20" i="1"/>
  <c r="E19" i="1"/>
  <c r="C19" i="1"/>
  <c r="D19" i="1" s="1"/>
  <c r="B19" i="1"/>
  <c r="E18" i="1"/>
  <c r="C18" i="1"/>
  <c r="D18" i="1" s="1"/>
  <c r="B18" i="1"/>
  <c r="E17" i="1"/>
  <c r="D17" i="1"/>
  <c r="C17" i="1"/>
  <c r="B17" i="1"/>
  <c r="E16" i="1"/>
  <c r="D16" i="1"/>
  <c r="C16" i="1"/>
  <c r="B16" i="1"/>
  <c r="E15" i="1"/>
  <c r="C15" i="1"/>
  <c r="D15" i="1" s="1"/>
  <c r="B15" i="1"/>
  <c r="E14" i="1"/>
  <c r="C14" i="1"/>
  <c r="D14" i="1" s="1"/>
  <c r="B14" i="1"/>
  <c r="E13" i="1"/>
  <c r="C13" i="1"/>
  <c r="D13" i="1" s="1"/>
  <c r="B13" i="1"/>
  <c r="E12" i="1"/>
  <c r="C12" i="1"/>
  <c r="D12" i="1" s="1"/>
  <c r="B12" i="1"/>
  <c r="E11" i="1"/>
  <c r="C11" i="1"/>
  <c r="D11" i="1" s="1"/>
  <c r="B11" i="1"/>
  <c r="E10" i="1"/>
  <c r="C10" i="1"/>
  <c r="D10" i="1" s="1"/>
  <c r="B10" i="1"/>
  <c r="E9" i="1"/>
  <c r="C9" i="1"/>
  <c r="D9" i="1" s="1"/>
  <c r="B9" i="1"/>
  <c r="E8" i="1"/>
  <c r="C8" i="1"/>
  <c r="D8" i="1" s="1"/>
  <c r="B8" i="1"/>
  <c r="E7" i="1"/>
  <c r="C7" i="1"/>
  <c r="D7" i="1" s="1"/>
  <c r="B7" i="1"/>
  <c r="E6" i="1"/>
  <c r="C6" i="1"/>
  <c r="D6" i="1" s="1"/>
  <c r="B6" i="1"/>
  <c r="E5" i="1"/>
  <c r="C5" i="1"/>
  <c r="D5" i="1" s="1"/>
  <c r="B5" i="1"/>
  <c r="E19" i="7" l="1"/>
  <c r="E22" i="7"/>
  <c r="B8" i="7"/>
  <c r="B9" i="7" s="1"/>
  <c r="B11" i="7" s="1"/>
  <c r="B6" i="7"/>
  <c r="F184" i="1"/>
  <c r="G184" i="1"/>
  <c r="F183" i="1"/>
  <c r="G183" i="1"/>
  <c r="F182" i="1"/>
  <c r="G182" i="1"/>
  <c r="F181" i="1"/>
  <c r="G181" i="1"/>
  <c r="F180" i="1"/>
  <c r="G180" i="1"/>
  <c r="F179" i="1"/>
  <c r="G179" i="1"/>
  <c r="F178" i="1"/>
  <c r="G178" i="1"/>
  <c r="F177" i="1"/>
  <c r="G177" i="1"/>
  <c r="G176" i="1"/>
  <c r="F176" i="1"/>
  <c r="G175" i="1"/>
  <c r="F175" i="1"/>
  <c r="G174" i="1"/>
  <c r="F174" i="1"/>
  <c r="G173" i="1"/>
  <c r="F173" i="1"/>
  <c r="F172" i="1"/>
  <c r="G172" i="1"/>
  <c r="G171" i="1"/>
  <c r="F171" i="1"/>
  <c r="G170" i="1"/>
  <c r="F170" i="1"/>
  <c r="G169" i="1"/>
  <c r="F169" i="1"/>
  <c r="G168" i="1"/>
  <c r="F168" i="1"/>
  <c r="F167" i="1"/>
  <c r="G167" i="1"/>
  <c r="G166" i="1"/>
  <c r="F166" i="1"/>
  <c r="G165" i="1"/>
  <c r="F165" i="1"/>
  <c r="G164" i="1"/>
  <c r="F164" i="1"/>
  <c r="F163" i="1"/>
  <c r="G163" i="1"/>
  <c r="G162" i="1"/>
  <c r="F162" i="1"/>
  <c r="G161" i="1"/>
  <c r="F161" i="1"/>
  <c r="F160" i="1"/>
  <c r="G160" i="1"/>
  <c r="G159" i="1"/>
  <c r="F159" i="1"/>
  <c r="F158" i="1"/>
  <c r="G158" i="1"/>
  <c r="F157" i="1"/>
  <c r="G157" i="1"/>
  <c r="F156" i="1"/>
  <c r="G156" i="1"/>
  <c r="F155" i="1"/>
  <c r="G155" i="1"/>
  <c r="F154" i="1"/>
  <c r="G154" i="1"/>
  <c r="F153" i="1"/>
  <c r="G153" i="1"/>
  <c r="F152" i="1"/>
  <c r="G152" i="1"/>
  <c r="F151" i="1"/>
  <c r="G151" i="1"/>
  <c r="F150" i="1"/>
  <c r="G150" i="1"/>
  <c r="F149" i="1"/>
  <c r="G149" i="1"/>
  <c r="F148" i="1"/>
  <c r="G148" i="1"/>
  <c r="F147" i="1"/>
  <c r="G147" i="1"/>
  <c r="F146" i="1"/>
  <c r="G146" i="1"/>
  <c r="F145" i="1"/>
  <c r="G145" i="1"/>
  <c r="F144" i="1"/>
  <c r="G144" i="1"/>
  <c r="F143" i="1"/>
  <c r="G143" i="1"/>
  <c r="F142" i="1"/>
  <c r="G142" i="1"/>
  <c r="F141" i="1"/>
  <c r="G141" i="1"/>
  <c r="F140" i="1"/>
  <c r="G140" i="1"/>
  <c r="F139" i="1"/>
  <c r="G139" i="1"/>
  <c r="F138" i="1"/>
  <c r="G138" i="1"/>
  <c r="F137" i="1"/>
  <c r="G137" i="1"/>
  <c r="F136" i="1"/>
  <c r="G136" i="1"/>
  <c r="F135" i="1"/>
  <c r="G135" i="1"/>
  <c r="F134" i="1"/>
  <c r="G134" i="1"/>
  <c r="F133" i="1"/>
  <c r="G133" i="1"/>
  <c r="G132" i="1"/>
  <c r="F132" i="1"/>
  <c r="G131" i="1"/>
  <c r="F131" i="1"/>
  <c r="F130" i="1"/>
  <c r="G130" i="1"/>
  <c r="F129" i="1"/>
  <c r="G129" i="1"/>
  <c r="F128" i="1"/>
  <c r="G128" i="1"/>
  <c r="G127" i="1"/>
  <c r="F127" i="1"/>
  <c r="G126" i="1"/>
  <c r="F126" i="1"/>
  <c r="G125" i="1"/>
  <c r="F125" i="1"/>
  <c r="G124" i="1"/>
  <c r="F124" i="1"/>
  <c r="F123" i="1"/>
  <c r="G123" i="1"/>
  <c r="F122" i="1"/>
  <c r="G122" i="1"/>
  <c r="F121" i="1"/>
  <c r="G121" i="1"/>
  <c r="F120" i="1"/>
  <c r="G120" i="1"/>
  <c r="G119" i="1"/>
  <c r="F119" i="1"/>
  <c r="F118" i="1"/>
  <c r="G118" i="1"/>
  <c r="F117" i="1"/>
  <c r="G117" i="1"/>
  <c r="F116" i="1"/>
  <c r="G116" i="1"/>
  <c r="F115" i="1"/>
  <c r="G115" i="1"/>
  <c r="F114" i="1"/>
  <c r="G114" i="1"/>
  <c r="F113" i="1"/>
  <c r="G113" i="1"/>
  <c r="F112" i="1"/>
  <c r="G112" i="1"/>
  <c r="F111" i="1"/>
  <c r="G111" i="1"/>
  <c r="F110" i="1"/>
  <c r="G110" i="1"/>
  <c r="F109" i="1"/>
  <c r="G109" i="1"/>
  <c r="F108" i="1"/>
  <c r="G108" i="1"/>
  <c r="F107" i="1"/>
  <c r="G107" i="1"/>
  <c r="F106" i="1"/>
  <c r="G106" i="1"/>
  <c r="F105" i="1"/>
  <c r="G105" i="1"/>
  <c r="F104" i="1"/>
  <c r="G104" i="1"/>
  <c r="F103" i="1"/>
  <c r="G103" i="1"/>
  <c r="F102" i="1"/>
  <c r="G102" i="1"/>
  <c r="F101" i="1"/>
  <c r="G101" i="1"/>
  <c r="F100" i="1"/>
  <c r="G100" i="1"/>
  <c r="F99" i="1"/>
  <c r="G99" i="1"/>
  <c r="F98" i="1"/>
  <c r="G98" i="1"/>
  <c r="F97" i="1"/>
  <c r="G97" i="1"/>
  <c r="F96" i="1"/>
  <c r="G96" i="1"/>
  <c r="F95" i="1"/>
  <c r="G95" i="1"/>
  <c r="F94" i="1"/>
  <c r="G94" i="1"/>
  <c r="G93" i="1"/>
  <c r="F93" i="1"/>
  <c r="G92" i="1"/>
  <c r="F92" i="1"/>
  <c r="G91" i="1"/>
  <c r="F91" i="1"/>
  <c r="G90" i="1"/>
  <c r="F90" i="1"/>
  <c r="G89" i="1"/>
  <c r="F89" i="1"/>
  <c r="G88" i="1"/>
  <c r="F88" i="1"/>
  <c r="F87" i="1"/>
  <c r="G87" i="1"/>
  <c r="F86" i="1"/>
  <c r="G86" i="1"/>
  <c r="F85" i="1"/>
  <c r="G85" i="1"/>
  <c r="F84" i="1"/>
  <c r="G84" i="1"/>
  <c r="F83" i="1"/>
  <c r="G83" i="1"/>
  <c r="F82" i="1"/>
  <c r="G82" i="1"/>
  <c r="F81" i="1"/>
  <c r="G81" i="1"/>
  <c r="F80" i="1"/>
  <c r="G80" i="1"/>
  <c r="F79" i="1"/>
  <c r="G79" i="1"/>
  <c r="F78" i="1"/>
  <c r="G78" i="1"/>
  <c r="G77" i="1"/>
  <c r="F77" i="1"/>
  <c r="G76" i="1"/>
  <c r="F76" i="1"/>
  <c r="G75" i="1"/>
  <c r="F75" i="1"/>
  <c r="F74" i="1"/>
  <c r="G74" i="1"/>
  <c r="G73" i="1"/>
  <c r="F73" i="1"/>
  <c r="G72" i="1"/>
  <c r="F72" i="1"/>
  <c r="F71" i="1"/>
  <c r="G71" i="1"/>
  <c r="G70" i="1"/>
  <c r="F70" i="1"/>
  <c r="F69" i="1"/>
  <c r="G69" i="1"/>
  <c r="F68" i="1"/>
  <c r="G68" i="1"/>
  <c r="G67" i="1"/>
  <c r="F67" i="1"/>
  <c r="G66" i="1"/>
  <c r="F66" i="1"/>
  <c r="G65" i="1"/>
  <c r="F65" i="1"/>
  <c r="F64" i="1"/>
  <c r="G64" i="1"/>
  <c r="G63" i="1"/>
  <c r="F63" i="1"/>
  <c r="F62" i="1"/>
  <c r="G62" i="1"/>
  <c r="F61" i="1"/>
  <c r="G61" i="1"/>
  <c r="F60" i="1"/>
  <c r="G60" i="1"/>
  <c r="G59" i="1"/>
  <c r="F59" i="1"/>
  <c r="F58" i="1"/>
  <c r="G58" i="1"/>
  <c r="F57" i="1"/>
  <c r="G57" i="1"/>
  <c r="F56" i="1"/>
  <c r="G56" i="1"/>
  <c r="G55" i="1"/>
  <c r="F55" i="1"/>
  <c r="G54" i="1"/>
  <c r="F54" i="1"/>
  <c r="F53" i="1"/>
  <c r="G53" i="1"/>
  <c r="F52" i="1"/>
  <c r="G52" i="1"/>
  <c r="G51" i="1"/>
  <c r="F51" i="1"/>
  <c r="G50" i="1"/>
  <c r="F50" i="1"/>
  <c r="G49" i="1"/>
  <c r="F49" i="1"/>
  <c r="G48" i="1"/>
  <c r="F48" i="1"/>
  <c r="F47" i="1"/>
  <c r="G47" i="1"/>
  <c r="G46" i="1"/>
  <c r="F46" i="1"/>
  <c r="F45" i="1"/>
  <c r="G45" i="1"/>
  <c r="G44" i="1"/>
  <c r="F44" i="1"/>
  <c r="G43" i="1"/>
  <c r="F43" i="1"/>
  <c r="F42" i="1"/>
  <c r="G42" i="1"/>
  <c r="G41" i="1"/>
  <c r="F41" i="1"/>
  <c r="G40" i="1"/>
  <c r="F40" i="1"/>
  <c r="G39" i="1"/>
  <c r="F39" i="1"/>
  <c r="G38" i="1"/>
  <c r="F38" i="1"/>
  <c r="G37" i="1"/>
  <c r="F37" i="1"/>
  <c r="G36" i="1"/>
  <c r="F36" i="1"/>
  <c r="G35" i="1"/>
  <c r="F35" i="1"/>
  <c r="F34" i="1"/>
  <c r="G34" i="1"/>
  <c r="F33" i="1"/>
  <c r="G33" i="1"/>
  <c r="F32" i="1"/>
  <c r="G32" i="1"/>
  <c r="F31" i="1"/>
  <c r="G31" i="1"/>
  <c r="G30" i="1"/>
  <c r="F30" i="1"/>
  <c r="G29" i="1"/>
  <c r="F29" i="1"/>
  <c r="F28" i="1"/>
  <c r="G28" i="1"/>
  <c r="G27" i="1"/>
  <c r="F27" i="1"/>
  <c r="G26" i="1"/>
  <c r="F26" i="1"/>
  <c r="F25" i="1"/>
  <c r="G25" i="1"/>
  <c r="F24" i="1"/>
  <c r="G24" i="1"/>
  <c r="F23" i="1"/>
  <c r="G23" i="1"/>
  <c r="G22" i="1"/>
  <c r="F22" i="1"/>
  <c r="G21" i="1"/>
  <c r="F21" i="1"/>
  <c r="F20" i="1"/>
  <c r="G20" i="1"/>
  <c r="F19" i="1"/>
  <c r="G19" i="1"/>
  <c r="F18" i="1"/>
  <c r="G18" i="1"/>
  <c r="F17" i="1"/>
  <c r="G17" i="1"/>
  <c r="F16" i="1"/>
  <c r="G16" i="1"/>
  <c r="F15" i="1"/>
  <c r="G15" i="1"/>
  <c r="F14" i="1"/>
  <c r="G14" i="1"/>
  <c r="F13" i="1"/>
  <c r="G13" i="1"/>
  <c r="F12" i="1"/>
  <c r="G12" i="1"/>
  <c r="F11" i="1"/>
  <c r="G11" i="1"/>
  <c r="F10" i="1"/>
  <c r="G10" i="1"/>
  <c r="F9" i="1"/>
  <c r="G9" i="1"/>
  <c r="F8" i="1"/>
  <c r="G8" i="1"/>
  <c r="F7" i="1"/>
  <c r="G7" i="1"/>
  <c r="F6" i="1"/>
  <c r="G6" i="1"/>
  <c r="D189" i="1"/>
  <c r="D190" i="1"/>
  <c r="D191" i="1"/>
  <c r="D192" i="1"/>
  <c r="F5" i="1"/>
  <c r="G5" i="1"/>
  <c r="D188" i="1"/>
  <c r="D198" i="1"/>
  <c r="E198" i="1" s="1"/>
  <c r="D199" i="1"/>
  <c r="E199" i="1" s="1"/>
  <c r="D200" i="1"/>
  <c r="E200" i="1" s="1"/>
  <c r="D201" i="1"/>
  <c r="E201" i="1" s="1"/>
  <c r="D202" i="1"/>
  <c r="E202" i="1" s="1"/>
  <c r="D203" i="1"/>
  <c r="E203" i="1" s="1"/>
  <c r="D204" i="1"/>
  <c r="E204" i="1" s="1"/>
  <c r="D194" i="1" l="1"/>
  <c r="D193" i="1"/>
  <c r="D195" i="1"/>
</calcChain>
</file>

<file path=xl/sharedStrings.xml><?xml version="1.0" encoding="utf-8"?>
<sst xmlns="http://schemas.openxmlformats.org/spreadsheetml/2006/main" count="1275" uniqueCount="510">
  <si>
    <t>Team 8 golden test set: final labels</t>
  </si>
  <si>
    <t>row_id</t>
  </si>
  <si>
    <t>Labeler 1</t>
  </si>
  <si>
    <t>Labeler 2</t>
  </si>
  <si>
    <t>Final label</t>
  </si>
  <si>
    <t>Source of final label</t>
  </si>
  <si>
    <t>Differs from Labeler 1</t>
  </si>
  <si>
    <t>Differs from Labeler 2</t>
  </si>
  <si>
    <t>Summary</t>
  </si>
  <si>
    <t>Rows</t>
  </si>
  <si>
    <t>Final labels that are blank or invalid (should be 0)</t>
  </si>
  <si>
    <t>Source: Resolution Log (disagreement)</t>
  </si>
  <si>
    <t>Source: agreed label changed</t>
  </si>
  <si>
    <t>Source: agreed label confirmed on Consistency Check</t>
  </si>
  <si>
    <t>Source: agreed label, not affected by any rule change</t>
  </si>
  <si>
    <t>Final differs from Labeler 1</t>
  </si>
  <si>
    <t>Final differs from Labeler 2</t>
  </si>
  <si>
    <t>Final differs from both labellers</t>
  </si>
  <si>
    <t>Final label distribution</t>
  </si>
  <si>
    <t>Credit reporting</t>
  </si>
  <si>
    <t>Debt collection</t>
  </si>
  <si>
    <t>Mortgage</t>
  </si>
  <si>
    <t>Credit card</t>
  </si>
  <si>
    <t>Bank account or service</t>
  </si>
  <si>
    <t>Consumer loan</t>
  </si>
  <si>
    <t>Money transfer or service</t>
  </si>
  <si>
    <t>Category</t>
  </si>
  <si>
    <t>Core scope</t>
  </si>
  <si>
    <t>Edge-case rule</t>
  </si>
  <si>
    <t>Errors, disputes, or investigations about what's ON a credit report/file itself (accuracy, unauthorized accounts, bureau disputes)</t>
  </si>
  <si>
    <t>Classify by the MAIN OUTCOME the ticket asks for, not the laws it cites. If the main demand is removing or correcting an entry on the credit report -&gt; here, even if validation or the FDCPA is cited as the reason. When a ticket asks for both, go with the request that has actual events behind it. (rev 4)</t>
  </si>
  <si>
    <t>Collection conduct by a collection agency, debt buyer, attorney, or the creditor itself (calls, harassment, threats, lawsuits, garnishment, wrong amount, validation requests) -&gt; here. A creditor's fees, terms or account servicing -&gt; that product's category. (rev 10)</t>
  </si>
  <si>
    <t>If the main demand is validation or verification of the debt itself (e.g. an itemized validation request to a collector, or disputing that the debt is owed) -&gt; here, even if deletion from credit reports is requested as the consequence of failed validation. (rev 4)</t>
  </si>
  <si>
    <t>Origination, servicing, PMI, refinancing, foreclosure on a home loan</t>
  </si>
  <si>
    <t>If reporting accuracy of the mortgage account is the actual complaint -&gt; Credit reporting. Foreclosure framed as collector misconduct (e.g. false representations, improper seizure of property) -&gt; Debt collection; problems with the foreclosure process itself (e.g. notices, loss mitigation, servicer handling) -&gt; stays Mortgage. (rev 5)</t>
  </si>
  <si>
    <t>Card fees, charges, disputes, closures, rewards, APR issues</t>
  </si>
  <si>
    <t>Store-branded credit cards (a card used to finance purchases at a particular store, chain or dealer) -&gt; here. (rev 7)</t>
  </si>
  <si>
    <t>Checking and savings accounts, including online banks (e.g. Chime, Marcus), and their debit cards: deposits, holds, checks, fees, closures, unauthorized access or charges (rev 3).</t>
  </si>
  <si>
    <t>If a real loan's payments or funds route through a bank account (e.g. loan payments debited from checking) -&gt; Consumer loan, unless the account-level action (freeze/closure) is the actual complaint. If no loan exists (e.g. a company the customer never borrowed from takes money), the Fraud and unrecognised accounts rule applies. (rev 10) Prepaid cards fit no category -&gt; force-fit here: the card holds the customer's own funds, like an account. (rev 7)</t>
  </si>
  <si>
    <t>Personal loans, auto loans, student loans, and their servicing</t>
  </si>
  <si>
    <t>A loan whose type is not named -&gt; Consumer loan, unless a mortgage-specific term appears (e.g. escrow, PMI, foreclosure, refinance, home or property) -&gt; Mortgage. "Servicer" alone is not a mortgage signal: mortgages, student loans and auto loans all have servicers. (rev 6) Buy-now-pay-later and point-of-sale instalment financing -&gt; here when the complaint is about the financing itself; if the complaint is about payments a payment app actually processed, rev 3 applies. (rev 7)</t>
  </si>
  <si>
    <t>Payment apps, digital wallets, crypto platforms, and transfer services (e.g. PayPal, Cash App, Venmo, Zelle, Coinbase, wires the customer sends, remittances such as Western Union) (rev 3).</t>
  </si>
  <si>
    <t>Categorize by PRODUCT, not by what went wrong: a lock, fraud, fee, or stuck payment on a payment app, wallet, or crypto platform stays here; the same problem on a bank deposit account -&gt; Bank account or service (rev 3).</t>
  </si>
  <si>
    <t>Fits two categories:</t>
  </si>
  <si>
    <t>Classify by the financial PRODUCT that is the substance of the complaint, not the mechanism used to raise it. Use the edge-case rules above to break ties.</t>
  </si>
  <si>
    <t>Fits none well:</t>
  </si>
  <si>
    <t>Force-fit to the closest of the 7 (the service can only output one of these 7), and write a short reason in the Flag/Notes column. Do not leave the category blank.</t>
  </si>
  <si>
    <t>Fraud and unrecognised accounts:</t>
  </si>
  <si>
    <t>If the grievance is with a credit bureau, or the main demand is removal from the credit report -&gt; Credit reporting. If the grievance is with the company holding the account (how the lender, card issuer or bank handles the fraud) -&gt; that account's product category, even if it also appears on the credit report. Money taken from the customer's own account without authorization by someone they have no account or agreement with (a stranger, an impostor, an unknown company) -&gt; the customer's own account decides the category (rev 3); the payee's line of business and the payment method (card, ACH, wire) do not. If the customer has an account or agreement with the company that took the money (a lender, seller, or payment app they used), that relationship decides. (rev 8)</t>
  </si>
  <si>
    <t>Product not stated:</t>
  </si>
  <si>
    <t>When the product is not stated: a dispute over a purchase from a merchant (non-delivery, overcharge, return) -&gt; Credit card; an action by a bank on the account itself (closure, freeze) -&gt; Bank account. This is a default for missing information, not something the text proves; do not infer the product from what a provider is known for. (rev 9)</t>
  </si>
  <si>
    <t>Order of application:</t>
  </si>
  <si>
    <t>The specific rules (category edge-case rules, Fraud and unrecognised accounts, Product not stated) take precedence over Fits two categories; Fits none well is the last resort. (rev 10)</t>
  </si>
  <si>
    <t>Revision log</t>
  </si>
  <si>
    <t>See the Revision Log tab.</t>
  </si>
  <si>
    <t>Heuristic scan results (run on all 180 candidates)</t>
  </si>
  <si>
    <t>25 of 180 rows (~14%) flagged before labelling as likely edge cases (26 flags; one row, 8644, carried two) -- see heuristic_flag column on Labeler tabs. Pre-labelling notes; outcomes are recorded in the Revision Log.</t>
  </si>
  <si>
    <t>11 rows: loan-servicer complaint with no product named (mortgage vs consumer loan). Resolved by rev 6.</t>
  </si>
  <si>
    <t>7 rows: raw label Credit card but no card-related language -- check for raw mislabeling.</t>
  </si>
  <si>
    <t>6 rows: both debt-collection and credit-reporting language present. Resolved by rev 4.</t>
  </si>
  <si>
    <t>2 rows: loan and bank-account language both present.</t>
  </si>
  <si>
    <t>Protocol revision log</t>
  </si>
  <si>
    <t>Rev #</t>
  </si>
  <si>
    <t>Status</t>
  </si>
  <si>
    <t>Change</t>
  </si>
  <si>
    <t>Triggered by (rows)</t>
  </si>
  <si>
    <t>Final</t>
  </si>
  <si>
    <t>Initial protocol (v1): 7 category definitions, edge-case rules, fits-two / fits-none rules. Used by both labellers for the independent pass.</t>
  </si>
  <si>
    <t>--</t>
  </si>
  <si>
    <t>Money transfer or service narrowed: money the consumer sent, or tried to send, through a transfer service (wires, P2P apps such as Zelle, PayPal, Cash App payments, remittances). Unauthorized card charges, account takeovers, and deposit or check problems go to Bank account or service, even when the provider is a fintech app. Replaces the undefined "fraud in transit" wording. Replaced v1 wording -- scope: "Wire transfers, remittance, P2P apps (Western Union, PayPal, Zelle)"; edge rule: "If the complaint is about FUNDS MOVEMENT/FRAUD IN TRANSIT -&gt; here, even if a bank account or card funded it." [Wording superseded by rev 3.]</t>
  </si>
  <si>
    <t>8472, 8444, 8096, 8455, 8342, 8335, 8095, 8539, 8264; also 8578 (Consistency Check)</t>
  </si>
  <si>
    <t>Yes</t>
  </si>
  <si>
    <t>Money transfer vs Bank account now decided by PRODUCT, not by issue, matching the source (CFPB) taxonomy and the existing "fits two -&gt; classify by product" general rule. Bank deposit accounts incl. online banks and their debit cards -&gt; Bank account; payment apps, wallets, crypto, transfer services -&gt; Money transfer, whatever the issue. Amends rev 2, whose "even when the provider is a fintech app" clause judged by issue. Replaced rev 2 wording -- BA scope: "Bank deposit accounts (checking, savings, including online banks such as Chime and Marcus) and their debit cards: deposits, holds, withdrawals, closures, fees, unauthorized charges, account takeovers, check problems. (rev 3)"; MT scope: "Payment apps, digital wallets, crypto platforms and transfer services (PayPal, Cash App, Venmo, Zelle, Coinbase, wires, remittances such as Western Union). (rev 3)"; MT edge rule: "Judge by the PRODUCT, not the problem: a lock, fraud, fee or stuck payment on one of these products is Money transfer or service. The same problem on a bank deposit account is Bank account or service. (rev 3)"</t>
  </si>
  <si>
    <t>8345, 8284 (G2); 8455 (G1, reopened); 8578 reversed back to Money transfer; 8142 changed to Bank account. 8207 checked: no in-scope product identifiable, resolved by existing fits-none rule (no protocol change).</t>
  </si>
  <si>
    <t>Credit reporting vs Debt collection now decided by the MAIN OUTCOME requested, not by the laws cited. Validation/verification of the debt itself -&gt; Debt collection (even if deletion is the fallback); removal/correction of a report entry -&gt; Credit reporting (even if validation/FDCPA is cited). If both are requested, the request with actual events behind it decides. Replaced v1 wording -- CR edge rule: "If the dispute is about a specific account's REPORTING STATUS (e.g. "reported as late", "shouldn't be on my report"), classify here even if that account is a mortgage or a collection -- reporting is the subject of the complaint, not the underlying product."; DC edge rule: "Only if the complaint is about the COLLECTION PROCESS itself (calls, letters, threats, validation). If it's purely "this collections tradeline is wrong on my report" -&gt; Credit reporting instead."</t>
  </si>
  <si>
    <t>8663, 8505 (G3); consistency re-checked: 8382, 8988, 8326, 8418, 8301. 8850 resolved by existing fits-none rule (no protocol change).</t>
  </si>
  <si>
    <t>Added to Mortgage edge rule: foreclosure framed as collector misconduct (false representations, improper seizure) -&gt; Debt collection; problems with the foreclosure process itself (notices, loss mitigation, servicer handling) -&gt; Mortgage. Previously the protocol listed foreclosure under Mortgage with no rule for foreclosure complaints aimed at collector conduct. Mortgage edge rule before: "If reporting accuracy of the mortgage account is the actual complaint -&gt; Credit reporting."</t>
  </si>
  <si>
    <t>8263 (both labelled Debt collection; conflicted with the Mortgage scope)</t>
  </si>
  <si>
    <t>Added Consumer loan edge rule for loans whose type is not named: default Consumer loan unless a mortgage-specific term appears (escrow, PMI, foreclosure, refinance, home or property) -&gt; Mortgage; "servicer" alone is not a mortgage signal. Formalizes the "generic-loan tie-break" Labeler 1 applied informally (not previously in the protocol). Consumer loan edge rule before: "--"</t>
  </si>
  <si>
    <t>8333, 8108 (G4); consistency re-checked: 8745, 8563, 8733, 8359, 8128, 8644, 8910.</t>
  </si>
  <si>
    <t>Added rules for store cards, buy-now-pay-later and prepaid cards: store-branded credit cards -&gt; Credit card; BNPL / point-of-sale instalment financing -&gt; Consumer loan when the complaint is about the financing, rev 3 applies when it is about payments a payment app processed; prepaid cards -&gt; force-fit to Bank account. Edge rules before -- Credit card: "--"; Bank account: "If it is a LOAN that happens to route through a bank account (e.g. loan scam via account info) -&gt; Consumer loan, unless the account-level action (freeze/closure) is the actual complaint."; Consumer loan: "A loan whose type is not named -&gt; Consumer loan, unless a mortgage-specific term appears (e.g. escrow, PMI, foreclosure, refinance, home or property) -&gt; Mortgage. "Servicer" alone is not a mortgage signal: mortgages, student loans and auto loans all have servicers. (rev 6)"</t>
  </si>
  <si>
    <t>8323, 8392 (G5); consistency re-checked: 8999, 8449. G5 scan of all 180 rows: see Audit Log.</t>
  </si>
  <si>
    <t>Added general rule for fraud and unrecognised accounts: grievance with a credit bureau or demand for removal from the report -&gt; Credit reporting; grievance with the company holding the account -&gt; that account's product. Unauthorized money taken by a party the customer has no account or agreement with -&gt; the customer's own account decides; payee's business and payment method do not; if the customer has an account or agreement with the company that took the money, that relationship decides. Scoped after a cascade check: the first wording would also have caught 8499 (Carvana) and 8392 (PayPal). Also amended rev 3 Money transfer scope: "wires" -&gt; "wires the customer sends". Money transfer scope before: "Payment apps, digital wallets, crypto platforms, and transfer services (e.g. PayPal, Cash App, Venmo, Zelle, Coinbase, wires, remittances such as Western Union) (rev 3)."</t>
  </si>
  <si>
    <t>8571, 8339 (G6); consistency re-checked: 8433, 8989, 8487, 8245, 8722, 8801, 8968; cascade check: 8597 changed to Bank account, 8499 and 8392 unchanged. G6 scan: see Audit Log.</t>
  </si>
  <si>
    <t>Added general rule for tickets that do not state the product: a merchant-purchase dispute -&gt; Credit card; a bank's action on the account itself -&gt; Bank account. A stated default for missing information; the product is not to be inferred from what a provider is known for. No labels changed: all four affected rows were already labelled this way by both labellers, but two labeller notes relied on knowledge of the provider.</t>
  </si>
  <si>
    <t>8379 (G9); found by G9 scan: 8585, 8549, 8372.</t>
  </si>
  <si>
    <t>Three clarifications from the final protocol review; no labels changed. (a) Bank account edge rule: "loan routed through a bank account -&gt; Consumer loan" now applies only where a real loan exists; where none exists, the Fraud and unrecognised accounts rule applies (the old example "loan scam via account info" contradicted rev 8). (b) Added "Order of application": specific rules take precedence over Fits two categories; Fits none well is the last resort. (c) Debt collection scope: collection conduct by a collector, debt buyer, attorney or the creditor itself -&gt; Debt collection; a creditor's fees, terms or servicing -&gt; that product. Before -- Debt collection scope: "Conduct of a collection agency/creditor collecting a debt (harassment, wrong amount, validation requests)"; Bank account edge rule first sentence: "If it is a LOAN that happens to route through a bank account (e.g. loan scam via account info) -&gt; Consumer loan, unless the account-level action (freeze/closure) is the actual complaint."</t>
  </si>
  <si>
    <t>Rows checked, none changed: (a) 8475, 8499, 8644, 8571, 8908; (c) all 16 final Debt collection rows, incl. 8453 and 8473 (harassment where the text does not say whether the caller is the creditor or a collector; collection conduct either way), and 8108 (creditor fees -&gt; Consumer loan). 8453 and 8613 logged in the Audit Log.</t>
  </si>
  <si>
    <t>Why</t>
  </si>
  <si>
    <t>narrative</t>
  </si>
  <si>
    <t>your_category</t>
  </si>
  <si>
    <t>I have a a few loans with RISE. Last month when I looked at my credit report I had XXXX inquiry from this company now I have XXXX and they all are dated for different months in the same year. I understand that the company will pull my credit to approve the loan, but they can not place the inquires on the file 10mos after the loan has been paid off.</t>
  </si>
  <si>
    <t>Loan type is not named, but the complaint is about credit-report inquiries; reporting is the subject under the Protocol.</t>
  </si>
  <si>
    <t>I have been trying to cancel my subscription to the Albert app for the past six months. Despite my repeated efforts, the company has continued to charge me monthly without addressing my requests. 
I attempted to close my account through the app, which requires a XXXX balance in the app 's savings account. However, the app does not function correctly and prevents me from completing the process. Because of this issue, I contacted Albert 's support team multiple times to resolve the problem, but they have not responded to any of my inquiries. 
This situation has left me unable to cancel my account, stop the recurring charges, or withdraw the remaining balance due to their app 's malfunction. As a result, I feel trapped in an endless cycle of charges with no way to resolve the issue due to Albert 's unresponsiveness and faulty app functionality.</t>
  </si>
  <si>
    <t>Nonstandard financial-app subscription/account issue; closest available fit is Bank account or service.</t>
  </si>
  <si>
    <t>I was shocked when I reviewed my credit report and found late payment on the dates below : XX/XX/2018- 30 DAYS LATE I am not sure how this happened, I believe that I had made my payments to you when I received my statements. My only thought is that my monthly statement did not get to me.</t>
  </si>
  <si>
    <t>No card is named; the complaint is explicitly about a late-payment entry on the credit report, so Credit reporting applies.</t>
  </si>
  <si>
    <t>XXXX XXXX XXXX and the XXXX dealership were notified that the person leasing the vehicle was going to purchase the car in full. Both XXXX and the dealer notified the buyer NOT to pay the last month 's lease payment, and instead, that amount would be included in the buyout payment. The purchase went through smoothly, but in XX/XX/2018 XXXX reported a late payment to XXXX for the vehicle, which is now on my credit history. Other than this false report, my credit is perfect with a XXXX+ rating. 
I called XXXX, and they told me that they don't have a record of this report, and that I have to provide them with a letter to prove the issue. This is not my job! XXXX should be doing everything to fix this! 
Even though it's not my job, I did send XXXX a fax with all of the details. I have also reported this issue to XXXX. Both were done on XXXX.</t>
  </si>
  <si>
    <t>On XX/XX/year&gt;, I discovered an unauthorized collection account from ZIONS DEBT HOLDINGS on my XXXX credit report ( Account # XXXX ). I have never received any written correspondence, validation notice, or phone call from this company regarding this alleged debt of {$370.00}. 
The report lists the original creditor as " XXXX '' and the loan type as " FACTORING COMPANY ACCOUNT, '' which I do not recognize. I have maintained an XXXX credit score for over a decade and have no outstanding unpaid obligations. This company failed to provide me with a XXXX validation period before reporting this to the credit bureaus, which is a violation of the FDCPA. 
I have already initiated a dispute with XXXX. I am filing this complaint because the company is reporting unverified and unknown information that is damaging my credit profile. I demand that the company provide full validation of this debt, including the original signed contract and itemized statement of charges, or immediately delete the entry from my credit report.</t>
  </si>
  <si>
    <t>Pressler and Pressler in New Jersey has been pursuing me for a medical debt of roughly {$1200.00} for the past several months. I initially set up a payment plan as I receive low income and am supporting my 14 month old daughter. I set up this payment plan in response to being sued by Pressler and Pressler with no warning. After several months of being invoiced and paying them I stopped receiving invoices. With absolutely no warning I discovered that Pressler and Pressler had garnished and frozen my bank account in attempt to collect the debt. I called them to try to resolve the issue and the only thing they would allow me to do was make a payment on a payment plan, however they would not release my bank account to me, claiming that I needed to hire a lawyer to proceed. I had to pay them using a credit card, which I am not worried I can not pay because my bank account remains frozen. The gentleman I spoke to told me that if I do not make payments I will be held in contempt of court and will possibly face charges or legal action. Without my bank account I am now unable to pay for my housing, my credit card bills, and most importantly, provide for my daughter.</t>
  </si>
  <si>
    <t>Am victim of identity fraud via android bank malware. My chime account was compromised from XX/XX/year&gt; to current Ididnt know til too late that I downloaded a maleware from XXXX play summer XXXX reality, the card data is transmitted to an attacker-controlled XXXX  relay server by taking advantage of the built-in XXXX  reader built into modern devices . The XXXX XXXX  then requests the victim to enter the PIN code with the goal of transmitting the information to the cybercriminal so as to authenticate the transaction. 
As a result, XXXX establishes a channel between the victim 's physical card ( mine ) and the PoS terminal/ ATM that the cybercriminal is next to, '' XXXX explained. " It allows the cybercriminal to use the victim 's card as if it was in their hands okay and every time I logged into my chime mobile app I gave fraudser complete access. Money was taken and transfer out my XXXX  thru all 3 of my account calls to chime been rerouted to ai fake chime customer service center I'm out $ XXXX</t>
  </si>
  <si>
    <t>My mortgage loan originated XX/XX/XXXX. In XXXX, I applied for a home made affordable loan modification but was denied. Wells Fargo informed me that I could do a short sale. My realtor submitted several offers to them for a short sale and they refused them and proceeded to foreclose on the property in XX/XX/XXXX. On XX/XX/XXXX, I contacted Wells Fargo 's Enterprise Complaints Mgmt Office letting them know that I felt my home had been wrongfully foreclosed and was given a case number and assigned a representative. XXXX XXXX is my Case SpecialistXXXX XXXX XXXXXXXX. I have received four different letters stating they need more time to finalize their research. I feel they are are not taking the situation seriously. I was told that another letter is in the mail stating that they should complete their work by XX/XX/XXXX. That will be two months from the date that I reached out to them.</t>
  </si>
  <si>
    <t>I used Moneygram on XX/XX/XXXX to send XXXX usd. And i git a messsage saying the money was sent with the reference number XXXX, but minutes after i got an email saying the opened a case XXXX. They lied because they said it was the receivers bank problem and i told them many times that we spoke with the branch manager ( XXXX bank ) and they are very opened to receive the money so we drove many times to the branch wasting money and time. 
Please we need our money back because we have so many things to pay for. 
XXXX XXXX XXXX XXXX</t>
  </si>
  <si>
    <t>Chase is discriminating against me and opened a brand new business credit card for me and then literally shut it down 1 week later. This is wrong. I have perfect credit. they approved this account, I did not even get a chance to use it and they closed it.
I was a victim of fraud last year and Chase is discriminating against me and closed down all of my cards due to ME BEING A VICTIM &gt; this is illegal.</t>
  </si>
  <si>
    <t>I have submitted multiple disputes regarding these accounts that is reporting inaccurately on my credit report. I have also submitted multiple reports regarding the account that needs to be updated These companies have refused to do work on disputes even though they're required by the law to do so. 
Account Name : XXXX</t>
  </si>
  <si>
    <t>No card is named; the complaint is explicitly about inaccurate reporting and disputes on the credit report.</t>
  </si>
  <si>
    <t>This particular account situation that is lately filing on my own credit document has a seriously unfavorable relation to my personal ability to obtain a present loan application. I highly recommend you generate verification that KOHLS/CAPITAL ONE has been reported completely in accordance with the Fair Credit Reporting Act regulations, it's really a serious problem to mis-report. Moreconfirmation of the aforesaid item too. My proper request mustover, I was never 30 days/60 days/120 days late in any of my payments and I'm not greatly tuned in to the date opened so I prefer to ask your be investigated as soon as possible and confirmed to be correct. Thanks!</t>
  </si>
  <si>
    <t>No card is named; the complaint is about inaccurate reporting on the credit report, not the underlying product.</t>
  </si>
  <si>
    <t>The credit bureaus must obey many laws, including the Fair Credit Reporting Act ( FCRA ). And according to the FCRA insert condition such as an incorrect balance an incorrect account number an undated late pay a missing field of missing field here such as status the wrong account type an incorrect a late pay after account was closed an inaccurate date of last activity an inaccurate date of last update a charge off listed as open a collection account with an inaccurate reporting dateLEAD BANK self XXXX POTENTIALLY NEGATIVE MONTHS Credit usage 0 % account Balance updated XXXX XXXX, XXXX Credit limit {$1000.00} Account info Account number XXXX Open/closed Closed Date opened XX/XX/XXXX Account type Revolving PAID CHARGE OFF VARIABLE RATE. PAID CHARGE OFF VARIABLE RATE. XXXX # XXXX Open/closed Closed Date opened XX/XX/XXXX Account type, Account, XXXX, XXXX Installment reported late payment XX/XX/XXXX XXXX XXXX XXXX XXXX PAYMENT Balance {$0.00} Balance updated XX/XX/XXXX,</t>
  </si>
  <si>
    <t>This is a follow-up to my existing complaint ( ID XXXX ). On XX/XX/year&gt;, I met with XXXX XXXX ( XXXX XXXX XXXX at XXXX XXXX. XXXX XXXX XXXX ). She stated she is unable to provide any written or verbal explanation for the closure of my account, claiming the decision was not hers and she was not given any details. She confirmed the decision originated from someone above her level. On XX/XX/year&gt;, I sent a formal demand to Old Nationals Legal Department requesting they immediately reopen and support my remaining ~ {$11000.00} in XXXX XXXX disputes. I have received no substantive response. The closure of my account while these disputes were still open has made it impossible to resolve them. I am requesting CFPB assistance in forcing Old National Bank to reopen and fully support my remaining XXXX disputes and provide a written explanation for the account closure.</t>
  </si>
  <si>
    <t>I attempted to withdraw money from my account to another bank account in my name. Marcus froze the funds and claimed that they needed onerous documentation from me ( a statement from my other bank sent to them via mail ) in order to complete the transfer. They also could not manually reverse the transfer, leaving my $ XXXX in limbo while Marcus decides what to do with the funds at their sole discretion.</t>
  </si>
  <si>
    <t>cash app is the company that is holding back {$3900.00} from a friend of mine I had a mistaken dispute on transactions i made with a recipient/friend of mine on XX/XX/2023, and on XX/XX/2023, the funds were reversed &gt;&gt;&gt;&gt; the funds from several transaction 's ( over XXXX ) were taken from my friend. So, I called the financial institution to cancel the dispute and return all the funds back to the recipient which they did, and cash app is saying they don't see the funds. I have been back and forth on the phone with XXXX XXXX  and cash app and I am getting nowhere this situation. in total there is {$3900.00} that is hanging in the air at cash app. I have statements and documents that funds were taken from me but never in the account of the recipient. I don't know what to do anymore this has been going for over a month now. Cash app keeps telling me there is no funds returned on their end and my bank keeps telling me the funds were sent back.</t>
  </si>
  <si>
    <t>I've requested that all soft inquiries that are 2 years old be removed from my credit report immediately. There is no valid reason for any inquiries that are 2 years old to remain on my report. There is no reason to make this a long term investigation</t>
  </si>
  <si>
    <t>I am filing a complaint against Cash App ( Block , Inc. ) due to inadequate customer service and unfair practices which violate the Consumer Financial Protection Act. Cash App failed to take timely and effective mesures to prevent fraud on their platform, This has left my accounts and finances vulnerable and unprotected. Their dispute resolution process is deceptive and unfair as they did not comply with the error resolution requirements under the Electronic Fund Transfer Act and Regulation E. This has caused signifigant inconvenience and financial loss and I seek appropriate redress for these violations.</t>
  </si>
  <si>
    <t>I had a false charge on my account, which I reported last XXXX. 
Chase provided an " explanation '' of their review outside of the 90 days required by the Act. As a result, I had discarded my own paperwork. Chase did not provide ( 1 ) evidence supporting theor reason for denying my claim; ( 2 ) Evidence of my debt; ( 3 ) Evidence that the goods were delivered to me plus a statement to that effect. Chase is not taking this seriously as all these are required by the Fair Credit Act ( 1974 ).</t>
  </si>
  <si>
    <t>The narrative does not explicitly say credit card, but the complaint is a merchant/charge dispute with Chase; selected Credit card as the closest charge/dispute product fit.</t>
  </si>
  <si>
    <t>The Police Report tells what happened! 
Resurgent took over the account!! 
So I'm responding to the 5 questions resurgent states to reinvestigate for fraud by different departments, and show different documents relating to the subject, unauthorized use and fraud and suspect charged!!!! 
I'm the victim here XXXX XXXX XXXX  by FCRA and CFPB LAWS!!! 
SHOULD HAVE CLOSED THE ACCOUNT AND THEN SENT ME A NEW CARD, WITH MY REFUND ( FDIC )!!! 
BUT INSTEAD, THEY SOLD MY INFORMATION TO LVNV, NOW, RESURGENT, WHEN THEY CHARGED OFF!! 
I DONT OWE XXXX  XXXX XXXX  ANY MONEY!!! 
IM ASKING XXXX  XXXX XXXX, LVNV, AND RESURGENT TO DELETE ANY AND ALL INFORMATION ABOUT ME FROM ALL 3 MAJOR CREDIT REPORTING AGENCIES ASAP!!</t>
  </si>
  <si>
    <t>I have been dealing with only Wells Fargo and now as of XX/XX/2021, they are saying that being the servicer of the loan they can do anything, right or wrong and not be responsible. So now I am bringing XXXX  XXXX XXXX in and let them see what their Servicer have been doing.</t>
  </si>
  <si>
    <t>Loan type is not named; using Consumer loan as the standing generic-loan tie-break. The complaint is not specifically about a mortgage.</t>
  </si>
  <si>
    <t>I am writing to formally express my concerns regarding Zelle 's handling of disputes. In light of the recent CFPB lawsuit highlighting significant issues with the platform and its lack of accountability regarding not including warning signs. Despite using Zelle numerous times and reporting discrepancies, my financial institution and Zelle failed to investigate my claims adequately. They informed me that recovering lost funds was impossible and that tracking these transactions was unfeasible. The CFPB 's findings indicate that Zelle has not only neglected to protect consumers but has also allowed repeat offenders to exploit the system, leaving users vulnerable to scams. This lack of accountability and transparency is unacceptable and raises serious concerns about consumer safety.</t>
  </si>
  <si>
    <t>Hello, Contacted XXXX XXXX XXXX XXXX XXXX   after experiencing multiple problems with a car purchased just shy of a year ago. The warranty was purchased as an extended warranty, to cover the cost of anything that could go wrong. What happened is one day my car started and the screen that displays radio, air conditioning, and back up camera did not work. I called to see what to do and XXXX XXXX told me to take to a dealership for diagnostics. After being diagnosed, my car needed a new battery harness, which connects to the computer of my car. Due to a malfunction within the cable itself. This may have caused signal to go out to the radio module. XXXX XXXX declined completing the work order and referred me back to carvana. Carvana then told me they would take care of me and not to worry, they just needed the complete diagnostics from XXXX. After connecting with them apparently they decided they are unable to fix this. Its outrageous. During multiple times not only did XXXX XXXX tell me they would fix it due to the items not being on an exclusions list so did carvana. 
Attachments ; photo from Wesite stating what XXXX XXXX entails ; photo of exclusions from extended warranty, photo of email denying coverage.</t>
  </si>
  <si>
    <t>Extended auto warranty is outside the seven defined scopes; forced to Consumer loan as the closest auto-related consumer-finance fit.</t>
  </si>
  <si>
    <t>XX/XX/XXXX PayPal limited my account with XXXX in the account the limitation end date was a 180 days which was up XX/XX/XXXX of XXXX I have yet to receive any email to withdrawal funds and was told a ticket has been submitted which was 3weeks ago and funds are still being help PayPal agreement states after 180 days funds will be released yet my funds are still being held.</t>
  </si>
  <si>
    <t>I am stressed out because this company is violating my rights Under 15 U.S.C. 1681s-2 ( a ), data furnishers are required to report only accurate and complete information.Reporting unverifiable or inaccurate data is a violation of federal law.</t>
  </si>
  <si>
    <t>I am the trustee of my mothers estate. XXXX  has refused to work with me at all. I have requested documents on multiple occasions and I am only met with combative support representatives at every occasion. When making an attempt to get XXXX XXXX for my XXXX mortgage I was yelled at be a support representative to get a lawyer. I have spent over XXXX hours on calls with XXXX  support and visiting XXXX  branches in an effort to get them to mail mortgage statements to my XXXX  XXXX  house. I have been hung up on, ignored and yelled at by XXXX  representatives. I have supplied every document they have requested multiple times. I paid off a XXXX XXXXXXXX XXXX  on behalf of my mothers estate and XXXX  refused to provide a receipt for payment on multiple occasions, and still refuses.</t>
  </si>
  <si>
    <t>I applied for a bank account with XXXX  on XXXX XXXX and was declined stating there were discrepancies on my XXXX   report. I knew that had to be an error because i filed for bankruptcy and every creditor was ordered by the judge to CEASE AND DESIST. I filed chapter XXXX bankruptcy with case XXXX  FL on XX/XX/17 and the case was discharged in XX/XX/2017. However, XXXX XXXX  is STILL REPORTING EVEN AFTER MY BANKRUPTCY. Each creditor is subject to up to {$1000.00} fine for violation of fair credit reporting act. Chapter XXXX   bankruptcy discharges all debt!</t>
  </si>
  <si>
    <t>I opened an account with XXXX XXXX  in XXXX to transfer my balance from my XXXX XXXX XXXX XXXX card to, as the XXXX card offered 0 % XXXX on balance transfers. XXXX sent a check to XXXX and charged my account. XXXX deposited the check, but I never received credit on my XXXX account for the check. My XXXX  account was charged on XX/XX/XXXX. Today, XX/XX/XXXX, I called XXXX to let them know that XXXX finished their investigation, and that they had sent me a letter with the results. I asked XXXX how I could send them those results, and they told me a case number on the phone with no additional information. XXXX asked for the exact account number the check was for, and XXXX told me they could not provide any information on that. I am currently still paying off both balances and not sure if any resolution is in sight. XXXX 's website gives me errors when I try to pull up information related to the transfer or disputes.</t>
  </si>
  <si>
    <t>I have asked requested the following personal statement be placed in my credit report and related to all who request my report. THe statement meets the word and character requirements but the reporting agency will not place this on my report as requested. 
" My ID was stolen, in two security breaches. Found on the dark web, my XXXX &amp; XXXX cards were used without authority. XXXX &amp; XXXX were notified, provided copies of law enforcement reports obtained. I disputed the accuracy &amp; completeness of XXXX &amp; XXXX adverse reports to the three credit reporting agencies. Each agency gave XXXX &amp; XXXX, notice as an adverse information furnisher. XXXX &amp; XXXX failed to, conduct a reasonable investigation of each dispute ; review all relevant information ; modify, delete, or permanently block the reporting of XXXX &amp; XXXX adverse information. ''</t>
  </si>
  <si>
    <t>Marcus by goldman sachs has my high yield savings accounts. XXXX has my checking account. On a weekly basis, money was being withdrawn from my chase account and being sent to the Marcus account. Three separate checks were sent from chase to Marcus that were never deposited by Marcus. Two ( 2 ) checks in the amount of {$100.00} and one ( 1 ) in the amount of {$500.00}. So the total of {$700.00} was removed from my XXXX account and never deposited in my Marcus account. Further scheduled deposits, after these three checks were sent, were sent and received by Marcus so I filed a dispute. Marcus then withdrew two ( 2 ) checks in the amount of {$100.00} and one ( 1 ) in the amount of {$500.00} from my savings account and issued me a check. The check they issued me could not be cashed so I am now down the {$700.00} withdrawn from my chase account and {$700.00} withdrawn from my Marcus account. I made new accounts with Marcus and put locks that no further withdrawals should be made from my existing Marcus accounts. Further withdrawals were made and then my entire Marcus account has been locked. So now I am down {$1400.00} and can not log into my account to access any of the funds in my savings account. I called immediately when I found out my account is locked to find out why and how long and they said 7-10 business days. It's been over three weeks and they have not given me any updates about how to unlock my account and access my funds. They have all of my money and are not letting me access it despite the dispute only being about {$700.00}.</t>
  </si>
  <si>
    <t>In accordance with the Fair Credit Reporting Act has violated my federally protected consumer rights to privacy and confidentiality under 15 USC 1681. 
I told XXXX, XXXX, and Equifax to reinvestigate these accounts : Account name XXXX XXXXXXXX XXXX  XXXX, Account number XXXX Account type Secured XXXX, Date opened XX/XX/XXXX, Status Paid, Closed. 
Account name XXXX XXXX XXXX, Account number XXXX Account type Credit card, Date opened XX/XX/XXXX, Status Paid, Closed. 
Account name XXXX, Account number XXXX, Account type Charge Card, Date opened XX/XX/XXXX, Status Paid, Closed. 
Account name XXXX XXXX XXXX, Account number XXXX, Account type Auto Loan, Date opened XX/XX/XXXX, Status Account charged off. {$14.00}, XXXX written off, Status updated XX/XX/XXXX. 
Account name XXXX XXXX XXXX  XXXX, Account number XXXX Account type Secured Loan, Date opened XX/XX/XXXX, Status Paid, Closed. 
Account name XXXXXXXX XXXX XXXXXXXX, Account number XXXX, Account type Credit card, Date opened XX/XX/XXXX Status Closed. Status updated XX/XX/XXXX Account name XXXX XXXX, Account number XXXX Account type Education, Date opened XX/XX/XXXX Status Paid, Closed. {$28.00}, XXXX written off, Status updated XX/XX/XXXX However, they stated everything was complete and accurate. But how is that possible if the open date, date of last activity and much more is incorrect. According to 15 USC 1681i ( 5 ), they are supposed to modify accounts that aren't reporting correctly.
15 U.S.C. 1681s-2 ( A ) ( 1 ) A person shall not furnish any information relating to a consumer to any consumer reporting agency if the person knows or has reasonable cause to believe that the information is inaccurate.</t>
  </si>
  <si>
    <t>I have been a longstanding customer with Chase Bank, maintaining multiple credit card accounts with them over a period of several years. I have always managed my accounts responsibly, making timely payments and adhering to all the terms and conditions. To my knowledge, I have not violated any rules or engaged in any behavior that would warrant account closure. 
Recently, I discovered that Chase had closed all of my credit card accounts without prior notice or explanation. I received no warning or notification regarding any issues with my accounts. Upon noticing the closures, I immediately contacted Chase customer service to inquire about the reason behind their decision.
Despite multiple attempts and speaking with several representatives, Chase refused to provide any specific reason for the closures. I was told that they were unable to disclose why the accounts were closed and that the decision was final. I was not given any opportunity to appeal or resolve any potential issue that may have prompted this action.
This sudden and unexplained closure of my credit card accounts has caused me significant inconvenience and concern. It has impacted my credit utilization ratio, which may negatively affect my credit score, and I am now left without access to credit that I previously relied on for regular financial activities.
I believe that as a consumer in good standing, I am entitled to a clear explanation for the closure of my accounts. The lack of transparency and unwillingness to provide any justification is deeply troubling and potentially unfair. I am requesting that the CFPB investigate this matter and help facilitate a response from Chase that provides a clear and detailed explanation for their actions.</t>
  </si>
  <si>
    <t>I used my  XXXX   XXXX  rewards  MasterCard ( Comenity )  to acquire a balance transfer to pay off anothet credit card. On  XXXX   XXXX  my account was charged  XXXX . I was charged for the balance transfer but it was not received by my other credit card.    XXXX   XXXX  wrote to me to verify the transfer was unsuccesful and my account would be credited. That was on  XXXX   XXXX  over 60 days ago.   I have not been credited and I also paid my other credit card through  XXXX  off myself.</t>
  </si>
  <si>
    <t>In XXXX of XXXX, property taxes were waived in the city of XXXX due to 100 % service connected XXXX. Penny Mac issued a refund in XXXX of XXXX for money paid to escrow for property taxes for the year. I. XX/XX/XXXX, the escrow paid the property taxes to the city of XXXX in error in the amount of XXXX. Since the end of XXXX I have called over 10 times between the lender and the city of XXXX to obtain the refund. I continually have to wait 14 business for a response that doesnt come. As of today XX/XX/XXXX. Penny mac has a cashed check with a check number for the property taxes refund and refuses to refund me even though we closed our loan out with them in the beginning of XXXX.</t>
  </si>
  <si>
    <t>According to 15 use 1681eb Everything must be 100 percent max accurate The credit bureaus keep disrespecting the laws. I showed them multiple times of how they are violating the Fair Credit Reporting Act.
According to 15 use 1681 ( 5 ) The credit bureaus said everything was complete and accurate and I asked them how if the open date is wrong.
Then I ask them to provide me description of the investigation according to 15 USC 1681 ( 7 ) and they never did. I have proof of my letter for that.
Also according to 15 USC 1681 s-2 A person shall not furnish any information relating to a consumer to any consumer reporting agency if the person knows or has reasonable cause to believe that the information is inaccurate.
This is violation after violation after violation. This is causing me stress because I have no hope with this system</t>
  </si>
  <si>
    <t>I made a one time purchase at Macys and the sales person offered me this card. I explained that I did not want the card, because I would use it only at that particular moment and not anymore. I do not live in the US. The sales person guarantee that there would be no charges involved in making that application so I could use the card one time. There were no fees. I used my son 's address and told her. 
I was surprised with this letter from the debit collector. 
I reserve my rights to use a lawyer again the company if I have any further inconveniences for this matter. I hope the matter gets solved and wait for an answer.</t>
  </si>
  <si>
    <t>Subject : Repeated Account Closures After Approval Request for Explanation I am submitting this complaint regarding a pattern of behavior by Capital One that I believe may constitute an unfair or deceptive practice. Capital One has repeatedly approved my applications for credit cards, only to close the accounts shortly afterward citing a vague business decision without providing any meaningful explanation. This has occurred multiple times. Despite these closures, Capital One continues to solicit and approve new credit card applications for me. This creates a confusing and frustrating situation where I am led to believe I am eligible for their products, only to have the accounts closed again shortly after opening. I have no negative payment history with Capital One and have complied with all account terms. Because these approvals are being granted and then reversed repeatedly, I am concerned that this process may result in unnecessary hard inquiries on my credit report and, in some cases, the collection of annual fees before the account is closed. At this point, I am requesting that Capital One provide a clear explanation addressing the following : 1. Why my accounts continue to be approved and then closed shortly thereafter. 2. Whether I am internally flagged or otherwise deemed ineligible for Capital One credit products. 3. Why I continue to receive solicitations and approvals if the bank has no intention of maintaining a credit relationship with me. If Capital One has determined that I am not eligible for their products, I respectfully request that they cease marketing and approving applications for credit cards in my name. I am simply seeking transparency and fair treatment in this matter. Thank you for your attention to this issue.</t>
  </si>
  <si>
    <t>Received debit card and account opened letters in mail from PNC Bank in my name. I did not open any accounts at PNC Bank. Debit card received Friday, XX/XX/2021. Received " Thank You for opening '' letter for three accounts that weekend. Called PNC Friday re : the debit card and they completed a form and stated I'd get a call from fraud team within 24 hours. Did not receive call. Called again Monday re : the letter and the three accounts and was told a search would find all accounts opened in my name and close them out. Received confirmation letters dtd XX/XX/2021 that the three accounts were closed. Also placed fraud alert with credit reporting agencies on XX/XX/2021 &amp; today filed police report with XXXX XXXX Police Dept.</t>
  </si>
  <si>
    <t>I have a loan with United Wholesale Mortgage. I have not been able to reach ANYONE from customer service I had an insurance rep call me with the same problem trying to reach them They do not answer the phone and do not acknowledge even having my loan, and however long i try or whatever phone number i try reaching customer service on it just does not go through.</t>
  </si>
  <si>
    <t>After receiving a copy of my 3 bureau credit report in XX/XX/XXXX, I noticed that Pro Collect was reporting a balance of {$1000.00}. I am unfamiliar with this company so I reached out to them in hopes to get some clarity on this alleged amount due. During the call I was told that they are a third part and have been collecting on the account since XX/XX/XXXX. I requested, both in writing and verbally, a copy of the contract and /or validation of this account on XX/XX/XXXX and have yet to receive either. 
The presence of this account has made it difficult for me to obtain even the smallest amount of credit and has caused a great strain on my lifestyle. I also disputed this account directly with the 3 CB 's and they came back verified. I requested the name and documents used to verify this account well over 30 days ago. According to the FCRA it must be deleted from all reporting entities. I am requesting that Pro Collect comply with FCRA, 15 U.S.C under Section 611 ( a ) ( 5 ) ( A ) ( i ) and delete this account immediately.</t>
  </si>
  <si>
    <t>Upon termination of my lease in XXXX I was assessed a disposition fee above the contractual obligation. In investigating this fee I had discovered that XXXX XXXX was charging for hail damage to the vehicle. This vehicle never experienced a hail storm while in my possession. 
The process of contacting XXXX XXXX XXXX XXXX and disputing the charge took costly time. Once the determination was made by a XXXX representative that I was indeed not responsible for any additional charges, as there was no hail damage, I immediately paid the remaining disposition fee. I had never been late in a vehicle payment to XXXX or any other automotive debtor. 
Because of the time it took XXXX XXXX to investigate and correct this charge I was outside of my 30 day payment window. They they reported me to the 3 bureaus as having a late payment. 
I sent my formal request to have the negative marks removed from my credit report at the 3 bureaus ; XXXX, XXXX, and XXXX. I submit this request on authority from the representatives at XXXX. I included a brief statement on what had happened and a copy of my credit report. On XX/XX/XXXX I received a letter from XXXX XXXX saying their reporting was correct. I called on XX/XX/XXXX to take further action. At this point I was informed I could make another formal dispute but could not actually speak with anyone who makes the decisions. A customer service rep by the name of XXXX and his supervisor XXXX were quite unwilling to help. 
I just want the negative mark removed from my credit. I am currently not obligated with any further debt to XXXX XXXX.</t>
  </si>
  <si>
    <t>Validation of Debt Request - SPRINGOAKCAPXXXXXXXX XXXX XXXXXXXX XXXX XXXX XXXX XXXX XXXX XXXX XXXX I am disputing this account as inaccurate and request full validation, including the original signed agreement and complete payment history. If you can not verify this debt, you must delete it from all credit reporting agencies. Pursuant to the Fair Debt Collection Practices Act ( FDCPA ) 1006.34, I am entitled to receive verification of the debt you claim I owe. I dispute the validity of this debt and, as such, I am exercising my rights under the FDCPA to seek verification. Please provide the following information within the next 30 days : 1. The amount of the debt claimed. 2. The name of the original creditor. 3. A copy of the agreement, contract, or other instrument that created the debt. 4. Verification that you are licensed to collect debts in</t>
  </si>
  <si>
    <t>I am filing a complaint against Vance &amp; Huffman LLC for failing to properly investigate my disputes regarding inaccuracies in my credit report. Despite my submissions, Vance &amp; Huffman LLC consistently responds within 24 hours stating the account is accurate, without providing any evidence of a thorough investigation. This practice violates the Fair Credit Reporting Act ( FCRA ), 15 U.S.C. 1681i, which mandates a reasonable investigation of disputes. Furthermore, Vance &amp; Huffman LLC actions may also contravene the Consumer Financial Protection Act ( CFPA ), 12 U.S.C. 5536 ( a ) ( 1 ) ( A ) - ( B ), as highlighted in the CFPB 's recent administrative proceeding XXXX XXXX XXXX XXXXXXXX ) against them for similar violations. I request that the CFPB take action to ensure Vance &amp; Huffman LLC complies with federal law and provides consumers with the necessary proof of investigation.
Also, I request deletion of all fraudulent items and information within 30 days pursuant to FCRA 609 ( e ) ( 15 U.S.C. 1681g ( e ) ) Disclosures to Consumers Information Available to Victims.</t>
  </si>
  <si>
    <t>Hello, I ordered my credit report for the first time in years in XX/XX/XXXX and discovered 8 accounts that were in question. I sent notarized and certified verification letters to the three major credit bureau XXXX XXXX, Equifax, XXXX and also directly with those creditors. I've had success and down to 3 account still ignoring me and reporting negatively with no verification. 
XXXX XXXX XXXX / XXXX XXXX has not and will not verify the account in question. This inaccurate information is reporting negatively on my credit report. 
I've been asking for verification for 6 months in certified and notarized letters. 
They replied once on XX/XX/XXXX The letter stated the account had be sold to XXXX XXXX which also included a non letterhead computer faded copy of a copy statement. 
On my credit report it's stating XXXX XXXX with remarks stating sold to another lender. I have no knowledge of this account which was opened in XXXX. Please help me.</t>
  </si>
  <si>
    <t>I did apply for the card but never finalized that I wanted because it was only for {$300.00} and they take {$80.00} of that for fees etc so I didn't want it and never confirmed that I wanted the credit card ... I don't even have the card in my possession...</t>
  </si>
  <si>
    <t>Equifax is knowingly reporting negative information from the following creditors : XXXX XXXX : Despite the information in its entirety is inaccurate, outdated ( XXXX ) and unverifiable. I have requested to Equifax to have this information removed, corrected or validated, however, Equifax continues to knowingly report the information. For example, it reports that my last payment was in XXXX. This is incorrect, the last payment was made in XXXX and it went delinquent in XXXX and another activity has occurred since XXXX. 
XXXX XXXX XXXX : It is reporting as a charge off, however, this account was paid on time from XX/XX/XXXX to XX/XX/XXXX, at that time it was incorporated and paid through Chapter XXXX bankruptcy and recently it was discharged in Chapter XXXX bankruptcy Equifax is reporting the information being reported was updated and accurate as of XX/XX/XXXX. I have notified the reporting agency that they are reporting inaccurate information and I have asked them to verify the validity and description of the debt. Equifax continues to report the information has been verified and no changes will occur on my report. When I try to redispute it Equifax reports that I am disputing a previously disputed information and refuses to change it. 
XXXX ( XXXX ) : This information is also being reported inaccurate. It is being reported that the amount was charged off and the amount charged off is inaccurate. Equifax reported its accuracy as of XX/XX/XXXX. These account was discharged within my bankruptcy and is not charged off.</t>
  </si>
  <si>
    <t>They claim I activated an XXXX Rate Sale offer with a promotional rate through XX/XX/22. I did not do this. I would like to see proof and the details of this offer. 
It has affected how they processed my payments on balance transfers.</t>
  </si>
  <si>
    <t>No card is named, but the promotional rate and balance-transfer payment handling point to a credit-card product.</t>
  </si>
  <si>
    <t>I have disputed these accounts before with Experian and they have not sent me any information as to how these accounts were verified as mine. I have sent them numerous documents to show that these accounts are inaccurately being reported on my credit reports.</t>
  </si>
  <si>
    <t>I am a single mother of XXXX. I work full-time and I'm in school studying to be a XXXX XXXX. I'm hoping to be certified by the end of the year. I am struggling with my mortgage payments. I am 4 months behind and I'm concerned I'm going to lose my home.</t>
  </si>
  <si>
    <t>When can a debt collector report my debt to a credit reporting company? 
The CFPBs debt collection rule requires debt collectors to take certain steps before reporting a debt to a credit reporting company. Once the debt collector has followed the rules about how to contact you, then they can report your debt to a credit reporting company, provided they follow other laws about credit reporting.
The CFPBs Debt Collection Rule clarifying certain provisions of the Fair Debt Collection Practices Act ( FDCPA ) became effective on XX/XX/2021. 
Learn more about the Debt Collection Rule and your debt collection rights. 
Before a debt collector can report your debt to a credit reporting company, the debt collector must do any one of the following : Speak with you in person about the debt, Speak with you by telephone about the debt, Mail you a letter about the debt and wait a reasonable amount of time ( generally 14 days ) for a notice that the letter wasnt delivered, or Send you an electronic communication about the debt and wait a reasonable amount of time ( generally 14 days ) for a notice that the message wasnt delivered. 
If a debt collector sends you a validation notice about a debt, it means they have satisfied their requirement to contact you and, in general, can begin to report the debt to credit reporting companies. 
Whether or not you have a debt in collection, its important to frequently check your credit reports for accuracy. If you think a debt collector has improperly reported a debt to a credit reporting company without meeting their obligations under the FDCPA, you can submit a complaint with the CFPB online or by calling ( 855 ) 411-CFPB ( 2372 ).</t>
  </si>
  <si>
    <t>Both collection and reporting language appear, but the question is specifically about when a debt collector may report; reporting is the subject.</t>
  </si>
  <si>
    <t>I was told my whole loan would be forgiven. I stopped paying because of that. They harassed myself and my parents every day for 6 months because of " oweing back payments '' which should not have been since the loans should have been forgiven. Consistently asked for paperwork that was never sent.</t>
  </si>
  <si>
    <t>Loan type is not named, but daily harassment and demands for back payments are collection conduct; Debt collection applies.</t>
  </si>
  <si>
    <t>Found a student loan debt on my credit report in XX/XX/XXXX, that was opened in XX/XX/XXXX. Loan appears to have been for XXXXXXXX XXXX XXXXXXXX, that is now past due and negatively reported on my credit. I am not nor have I ever been a student at the XXXX XXXX XXXXXXXX, nor do I know anyone who has. I have never applied or received student loan monies from any school. I contacted the collection agency Central Research Inc ( as shown on credit report ) on XX/XX/XXXX, they referred me to the XXXX XXXX XXXX. I contacted XXXX XXXX XXXX on XX/XX/XXXX, filed a ID Theft Affidavit, filed a police report with the XXXX XXXX ( OH ) XXXX XXXX on XX/XX/XXXX, and a filed a report of identity theft with the FTC on XX/XX/XXXX.</t>
  </si>
  <si>
    <t>WESTLAKE FINANCIAL SERVICES is reporting on my personal credit file with ( XXXX ) credit reporting agency . This account was opened fraudulently. Ive informed all parties of the issue &amp; provided the necessary documentation to support my claim. The credit reporting agency ( CRA ) &amp; data furnisher ( DF ) are not complying with federal law in regards to identity theft. Additionally, the credit reporting agency &amp; data furnisher have not provided me with any evidence of an open contract, signed contract or any valid proof this was opened, authorized or created by me. Since this is a strict violation of FCRA laws I need the account removed from my file. 
WESTLAKE FINANCIAL SERVI XXXX Opened XXXX XXXX, 2020 Balance {$8300.00}</t>
  </si>
  <si>
    <t>I am writing to request an investigation of the following information that appears on my Early Warning Systems consumer report, which I believe to be fraudulent. 
In accordance with the Fair Credit Reporting Act, I assert that the list of accounts below has violated my federally protected consumer rights to privacy and confidentiality under 15 USC 1681. These items listed above have violated my rights as outlined in 15 U.S.C. 1681, Section 602 A, which grants me the right to privacy. 15 U.S.C. 1681, Section 604 A, Section 2 also states that a consumer reporting agency can not furnish an account without my written instructions. Furthermore, 15 U.S.C. 1681c ( a ) ( 5 ) stipulates that no consumer reporting agency may include any adverse items on a consumer report if they predate the report by more than seven years.
Additionally, 15 U.S.C. 1681s-2 ( a ) ( 1 ) specifies that no information can be furnished to a consumer reporting agency if the person knows, or has reasonable cause to believe, that the information is inaccurate. 
I have NEVER opened or used the following account numbers, and I request that all information related to these accounts be removed immediately : Bank : XXXX XXXX Incident Date : XX/XX/year&gt; Contribution Ref # : XXXX Account # : XXXX ABA Number # : XXXX Additionally, I do not recognize the following inquiries that appear on my report. I am a victim of identity theft, and I do not recognize the following inquiries. I request that the following inquiries be removed from my Early Warning Services consumer report immediately :</t>
  </si>
  <si>
    <t>Cypress Collections Professional Collection Agency XX/XX/XXXX XXXX XXXX XXXX XXXX, CA XXXX Re : Reference # XXXX Client # XXXX Thank you for your inquiry. I do in fact dispute the claim of {$120.00} plus the additional interest that was erroneously billed to me and certainly, your threats to damage my credit worthiness. 
I am a Veteran under the care of the Veterans Administration at XXXX XXXX. I have communicated with Doctors on Duty and have told them that their claim needs to be filed with the Veterans Administration. I also told Doctors on Duty that I would talk to the VA regarding the erroneous billing for my approved office visit. I talked to my primary care doctor at the VA and was told that there is a record of an authorized request for medical service on XX/XX/XXXX. Initially I told this to Doctors on Duty bookeeper. I clearly told the Doctors on Duty staff that the VA sent me and that I needed to be evaluated for XXXX because of XXXX XXXX and that I was a veteran. The reason for this going to collection is clearly not my doing. It is in fact Doctors on Duty responsibility to bill the VA as per their contract ( a requirement that they did not do ) Embroiling me in their mishap with a threat of affecting my credit worthiness is disturbing at best. 
I have contacted the Community Provider division of VA and have filed an Adverse Credit Report - XXXX. Cypress Collection as well as Doctors on Duty have been notified to cease and desist their illegal claim. If in fact my credit worthiness is affected, I will sue for defamation of character and elder abuse of an ailing veteran. 
I am willing to pursue a course of action against both Doctors on Duty and Cypress if this persists any longer. I defended my country with dignity and courage and expect respect and thanks for my service, rather than being threatened and abused by Doctors on Duty and Cypress Collections. 
Thank You XXXX cc : FTC www.ftc.gov cc : Senator XXXX XXXX</t>
  </si>
  <si>
    <t>Both collection and reporting language appear, but the complaint centers on the collector's billing/threats and cease-and-desist demand; Debt collection applies.</t>
  </si>
  <si>
    <t>For the following two loans
  1-01 DL Consolidated - Unsubsidized, disbursement date XXXX
  1-02 DL Consolidated - Subsidized, disbursement date XXXX
Navient lists XXXX as the receiver. I did not go to XXXX in 2014.</t>
  </si>
  <si>
    <t>The loan type is actually a federal student loan, so Consumer loan applies despite the heuristic flag.</t>
  </si>
  <si>
    <t>On XX/XX/2023 I called XXXX XXXX  to dispute information that was reporting incorrectly on my credit report. I was transferred to the Credit Reporting Department with XXXX XXXX  and was told that " your account has been purged and is no longer in our system ''. I then asked if she could at least pull up my payment history on the account and she said, " No, I can't pull up anything about you in our system because your account has been purged from our system ''. 
On that same date, following the call with XXXX XXXX, I filed Credit Disputes with Transunion and XXXX online. I submitted a dispute letter and several files of evidence to support my claims. 
Transunion completed their investigation within XXXX business days and XXXX also completed theirs within XXXX business days. Neither of the Credit Agencies updated my credit reports with the disputed information although they both did make minor changes. 
If XXXX XXXX  has told me themselves that my account was purged and removed from their system, how did Transunion and XXXX verify any of the information that is showing on my credit report or the disputed information? 
The credit agencies actually removed half of my payment history from the disputed account. I was showing 79 % of on time payments prior to the dispute and because much of the monthly payment history was removed, my on time payment history dropped to 52 %. This account has been closed for XXXX  years and there haven't been any additional payments made on the account once it was closed. So, there's no way that my actual payment history percentage should have changed as that's not what the dispute was regarding.</t>
  </si>
  <si>
    <t>Compass Bank in XXXX XXXX, CA has reported to all the major credit agencies that we have been delinquent on multiple occasions. The bank has admitted fault due to human error. Apparently, the funds were deposited into the incorrect accounts and automatic withdrawals could not be made, leading to late payments. Despite admitting these mistakes, the credit agencies have not been notified and my credit rating has been substantially impacted. Investigations are pending with all three agencies. The bank should be investigated for questionable standards and practices.</t>
  </si>
  <si>
    <t>The unverified items indicated below continue reporting on my credit report despite several written requests, in violation of federal law. Sections 609 ( a ) ( 1 ) ( A ) and 611 ( a ) ( 1 ) require these items to be authenticated ( A ). I will take legal action against you if you do not validate these items. Please follow the law so that this situation can be settled quickly. 
XXXXXXXX XXXX XXXX XXXX XX/XX/XXXX XXXX XXXXXXXX XX/XX/XXXX XXXX XXXX XXXXXXXX XXXX XXXX XXXX XXXX XXXX XXXXXXXX XX/XX/XXXX</t>
  </si>
  <si>
    <t>Made a wire transfer from XXXX XXXX XXXX from my savings account on XX/XX/24 i have XXXXaccounts the checking savings and brokerage which they authorized then the next day they froze all XXXX accounts before reaching out to me which they say was for unusual activity called on XX/XX/XXXX took along time to get through on hold for at least XXXX minutes talked to XXXX XXXX  XXXX XXXX am he said call back at XXXX again on hold then spoke to XXXX XXXX  on hold again finally talked to the security team they asked many questions i tried to tell them this and other transactions are legit i sent them i signed letter saying so then they wanted a trusted contact i gave them that then they wanted to speak to her then i contacted they security team and me and her spoke to them again on XX/XX/XXXX to no avail they are saying something like identity theft i keep trying to tell them this is not so im retired on social security and i have XXXX figures there and i need some of that money to make ends meet most of my life savings is there and they are causing me financial hardship im am so sorry i ever put my money there i have {$190000.00} there and cant do anything cant withdrawl cant buy stock or sell cant write checks</t>
  </si>
  <si>
    <t>A wire transfer is mentioned, but the core complaint is the freeze of checking/savings/brokerage accounts and inability to access funds; Bank account or service.</t>
  </si>
  <si>
    <t>on XX/XX/23 my phone was stolen at my neighborhood pool and the thief got into my account and transfer IRS check out of my account in the amount of XXXX. I sent in all necessary documents such as a police report and FBI report. The investigation team sent me documents of how the investigation came back as no error and it showed the IP of my phone that was stolen and the times of when the transfer happened i also had a XXXX XXXX XXXX XXXX and im seeing XXXX XXXX listed on the investigation doc &amp; i now have a XXXX XXXX XXXX &amp; also had an address that was 28 minutes from my home address that i have no knowledge of when the transfer happened. They also dont have the name of financial institution that initiated charge on the document.</t>
  </si>
  <si>
    <t>On or around XX/XX/XXXXXXXX XXXX  I noticed a derogatory account reported by Resurgent Receivables on my credit report, referencing an alleged debt originally from XXXX XXXX Bank, XXXX. The account shows a balance of {$500.00} and states it was opened on XX/XX/XXXX. I was not notified of this debt prior to its appearance on my credit report, and I do not recall incurring or authorizing this debt. 
To date, I have not received any written communication from Resurgent Receivables, nor any attempt to notify me of their intent to collect, as required by 15 U.S.C. XXXXg ( Validation of debts ). Furthermore, there appears to have been a failure to follow the proper procedures for communicating with a consumer under 15 U.S.C. XXXXc, which regulates how and when a debt collector may contact a consumer. 
I have not received a proper debt validation notice, and I was not given the opportunity to dispute the debt before it was reported to credit reporting agencies. I sent a written request for validation to Resurgent Receivables and have not received a response. 
I am disputing the accuracy and validity of this account. Until proper documentation is provided that proves the debt is valid and collectible, I request that this item be removed or marked as disputed on my credit report, and that all collection activities cease immediately, in compliance with federal law.</t>
  </si>
  <si>
    <t>Both collection and reporting language appear, but the main complaint is the derogatory tradeline appearing on the credit report and its accuracy/validation.</t>
  </si>
  <si>
    <t>I have had the mortgage on my home for 18+ years. My mortgage was sold to SPS with a balance of {$80000.00} and still owe {$77000.00} and have no equity in my home. When I contacted SPS servicing, they didn't understand what my concern was and were of no help. 
I am a XXXX XXXX XXXX female that is XXXX American and I feel that my mortgage company is taking advantage of me because of my race and my age. 
There is no way that I am paying on a Mortgage for as long as I have and only have {$2000.00} in equity. When I did speak to someone at SPS, they told me my mortgage would be paid off in the year XXXX. How is this even possible when I only did a 30 year mortgage in XXXX??? 
I need someone to assist in finding out what this company is doing with my money every month</t>
  </si>
  <si>
    <t>I am unemployed seeking employment and I have been denied employment because of the fake news contained in my credit file. There are numerous inquiries that I have never engendered and I've never even heard of these companies. There are fake telephone numbers on my credit file I have never had, there are fake address to places where I've never lived too. 
My credit file with Experian contains a lot of fake news. The information contained in the credit file belongs to the consumer and if it is inaccurate or contains misleading information, the consumer has the right to correct the information. While I was legally XXXX  for XXXX, my identity was stolen from me and I took appropriate action notified the Credit Reporting Agency ( CRA ) in  this complaint with a Fraud Affidavit and proof of legal incapacity. I notified federal law enforcement. 
The CRA in this complaint told me to contact all the companies. I did. I notified the companies that inquired on my credit file to remove and/or correct the erroneous information from my credit file. They all told me that the CRA does that, not them. 
I then wrote the CRA in this Complaint that I've already spoken to the various companies that inquired in my credit file and they all told me there's nothing they can do about it. I being jerked around by Experian.</t>
  </si>
  <si>
    <t>PayPal - negative {$1000.00} XX/XX/XXXX Transfer Loading transaction details for PayPal - negative {$1000.00} XX/XX/XXXX Transfer There is an open dispute associated with this transaction. Visit the XXXX XXXX to view status. 
Paid with Balance {$1000.00} Transaction ID XXXX Seller info PayPal Note {$1000.00} USD ; PayPal Posting Date : XX/XX/2019 ; Payment to : Paypal ; PayPal 's damages caused by Acceptable Use Policy violation My email is XXXX XXXX</t>
  </si>
  <si>
    <t>Yard card finances lawn equipment through td bank. I mail my payment through my online account at XXXX XXXX every month. They applied my XXXX payment to the wrong account. I have contacted them by phone and email and they can not straighten out the problem. My account number with yard card is XXXX. The account they credited payment to was XXXX.</t>
  </si>
  <si>
    <t>An unauthorized transaction was made on my Chime XXXX XXXX account on XX/XX/year&gt; in the amount of {$1400.00} at XXXX XXXX. I transferred funds to my account to set aside for a moving fund. I filed a dispute with Chime on XX/XX/XXXX they then denied my claim the following day without proper investigation. An appeal or rebuttal was filed on XX/XX/XXXX at which point I also provided a written statement and a statement from the business stating the charge was unauthorized. That rebuttal was also denied despite submitting substantial information. I tried calling police but because I was unsure where I misplaced my credit card they were unwilling to file a dispute. It has been now almost XXXX  months of me fighting the bank and nothing has been returned to me and this issue has yet to be resolved.</t>
  </si>
  <si>
    <t>The purpose of this hardship letter to explain XXXX XXXX and XXXX XXXX position of the hardship that occurred with a collision with the negligent driver. On XX/XX/XXXX XXXX XXXX was actively working as an XXXX XXXX XXXX XXXX and was the victim of a negligent driver performing an illegal traffic stop according to the local police report. As a result of the collision the car was deemed a total loss. XXXX spoke with a Wells Fargo representative on the issue of deferment after realizing there was no gap insurance to help cover the remaining balance. XXXX was advised not to defer and wait for the responsible party to cover the damages. On XX/XX/XXXX I spoke with agent XXXX # XXXX and requested a call back with a supervisor to negotiate the charge off and the impact on credit that did not happen within the time agreed. I called back and spoke with a supervisor with the option of a settlement plan. We agree with the settlement plan but the back dating of credit reporting we do not agree for the reason of the direction given by a Wells Fargo agent not to defer, we did not have possession of the vehicle, loss of supplemental income that was used during the application of the loan and financial hardship when XXXX could no longer work. I have included a letter of representation from the attorney. Thank you for your time.</t>
  </si>
  <si>
    <t>Coinbase locked my account on XXXX to " verify my identity ''. I've had the account for many years and my portfolio is in excess of $ XXXX. I have done everything they asked to restore access to my account but they require proof of where I obtained my capital from. I do not have such documents. My seed money came from a wrongful death suit and I explained that. Ive paid my taxes every year, they have my ID and my SSN, I've sent documents of every transfer I ever made from my bank account to Coinbase. They have given me a few days to submit these documents but refuse to tell me what will happen if I can not. I have asked them, they have dodged every question and refused to even tell me what documents will satisfy them. I can not make trades or withdraw any of my money.</t>
  </si>
  <si>
    <t>Crypto-platform account access is outside the seven named scopes; Money transfer or service is the closest fit.</t>
  </si>
  <si>
    <t>WELLS FARGO &amp; COMPANY, AND ALL AFFILIATES AND ALL SUBSIDIARY ' S OF THE PARENT, WELLS FARGO &amp; COMPANY. IS SAYING THEY OWN MY MORTGAGE AND NOTE/ I HAVE CHECK IT BY AUTOMATION ON THERE PHONE SYSTEMS. AND HAVE COME UP WITH IT SAYING THEY DO NOT HAVE A MORTGAGE IN THE NAME OF THE PARTY. SO HOW COULD A AFFILIATE OF OR A SUBSIDIARY OF WELLS FARGO &amp; COMPANY SAY THEY OWN MY MORTGAGE AND NOTE? WHEN THEY SAY THEY DO NOT AND HAVE NEVER HAD A MORTGAGE AND NOTE OF THE SAID PARTY? I HAVE FILED THIS SAME COMPLAINT TO THE DOJ, FBI, AND ATTORNEY GENERAL OF MASS. WANTING ANSWERS.</t>
  </si>
  <si>
    <t>Eastern Account System. Dear Sir/Madam, I am writing to formally demand that you cease and desist all communication with me regarding the alleged debt referenced under account # XXXX, in according with the Fair Debt Collection Practices Act ( FDCPA ), 15 USC 1692c ( c ). Please note that any further contact from your agency, except for the purpose expressly allowed by law ( such as notification of legal action or final settlement ), will be considered a violation of federal law, and I will take all necessary legal action to protect my rights.</t>
  </si>
  <si>
    <t>Good day, Hi im using my paypal account XXXX to received payment from my client to my business, when i open my email address tuesday XX/XX/2023 i received a message from paypal stating that " You can no longer do business with PayPal ( Ref ID - XXXX ) '' Paypal permanent limit my account without any explanation, i follow all rules and terms and condition on paypal agreement i use my paypal account only in my business i did not do anything wrong with my paypal, i really need my account for my business because this is the only one i use to received payment from my client, can you please help me to resolve this problem can you please help me to lift the limitation of my account and back to normal please help me. 
Thank you Very much!</t>
  </si>
  <si>
    <t>XX/XX/2023. On XX/XX/XXXX i made a payment to my balance and assumed the payment would go to principal since the payment due date is not until XXXX XXXX however, the payment of {$500.00} was paid directly to all the interest. I see that this is a problem and loans will be very difficult to pay off if payments made on the account will go to interest first.</t>
  </si>
  <si>
    <t>Loan type is not named; the complaint is about how payments are allocated on a loan, so Consumer loan is the generic-loan fit.</t>
  </si>
  <si>
    <t>I do not know who this company is. I have disputed it with the credit reporting companies. I requested any and all originating documents. It is in violation of HIPAA law as well. Please inform this company to remove in and all information about me from their systems. I did do not consent to any selling or purchasing of any information involving my person. I have never done business with this company. I also will report to XXXX  if necessary.</t>
  </si>
  <si>
    <t>I disputed an item due to cancelling and never receiving merchandise, Wells fargo took the word of the merchant that I did n't cancel so they reversed the credit. I felt this was unfair having being charged XXXX for something that I never received and was told would be cancelled and no further shipments. Wells Fargo wont reopen its investigation and says I did n't cancel, why would I lie? this is a large bank just bullying the little guy</t>
  </si>
  <si>
    <t>The narrative does not explicitly identify a card, but the Wells Fargo merchant-charge dispute is most consistent with the Credit card scope.</t>
  </si>
  <si>
    <t>This complaint is against USAA re : an RV Loan. I made auto bill pay pmts [ {$270.00} - XXXX, XXXX &amp; XX/XX/2023 ] through XXXX Bank, pmts were cashed by USAA, then pmts were re-deposited back into my acct. I was not contacted to let me know of any problem and was not aware of this until end of XX/XX/2023. Also, on XX/XX/2023, I made a telephone transfer of {$1000.00} to my checking acct with USAA, but they applied it to the principal of the loan. I repeatedly tried to call them, but they wouldn't take my calls, because they would try to send me a " secure '' number thru my text, but I repeatedly told them I couldn't receive texts while talking on the phone [ I have a flip phone ]. I am talking about XXXX calls from XXXX thru XX/XX/2023. Now they have started a repossession procedure. XX/XX/2023, I made a pmt. XX/XX/2023 I spoke to a woman who said she would listen to the phone call I made saying how I wanted the {$1000.00} applied and she would send the pmt situation to their legal dept. That was over a month ago and I have received no word as to what is happening. I have not made the XXXX nor the XXXX pmt because I don ; t know what is happening to me and I do not know when I will be homeless. The XXXX pmts are in my savings acct in case I need to catch up, that is if they will allow the # XXXX to go into my checking acct whereby I will be able to make up the back pmts. I want all penalties and extra taken off also.</t>
  </si>
  <si>
    <t>Our home mortgage was sold by XXXX XXXX to a company called Specialized Loan Servicing LLC on XX/XX/2018. To date we have not received any information or paperwork from Specialized Loan Servicing. Today is XX/XX/2018. Nor has any payment information been sent to us from SLS. I have called to set up payments and SLS will not even speak with me regarding this note which I have authorization to speak on.When I call SLS the call is picked up in a call center in which a person can hear many conversations going on in the background. In this day and age no person wants to speak about their home mortgage in such an atmosphere. I wis to know where I stand legally before we are called late with our payment.</t>
  </si>
  <si>
    <t>On XX/XX/XXXX an online transaction was made through our banking institution Wells Fargo via XXXX in the amount of {$230.00}. XX/XX/XXXX XXXX TO XXXX XXXX ON  XX/XX/XXXX REF # XXXX {$230.00}. The product/service was not received. Contacted Wells Fargo and a claim was filed # XXXX. We would like our money back. This was fraudulent act committed ; Wells Fargo should back all transactions on their website and in good faith refund the customer. We were told most likely we would not be getting our funds back. 
Please assist in obtaining our {$230.00} back. 
Thanks.</t>
  </si>
  <si>
    <t>I've recently received a copy of my credit report and noticed several inaccuracies and unauthorized accounts/information reporting to my credit report. These remarks have been detrimental to my life and credit health. 
CAPIO PARTNERS LLC {$3100.00} XX/XX/year&gt;</t>
  </si>
  <si>
    <t>I last spoke with a supervisor ( XXXX ) on XXXX after receiving the last response from a Citibank Representative on my recent complaint with CFPB. 
Although, I did not inquire about " settling '' the account I was not given any options on how to resolve the balance either. Currently, the principal balance according to XXXX is {$590.00} with {$170.00} ( late fees of {$25.00} per month ) plus any interest. 
Prior to the conversation with XXXX, a conversation ( early XXXX ) with a representative in the loan department stated that " for two payments ( XXXX and XXXX ) no interest would be charged and the account would be deferred. '' I would not need to make any payments. But, I made a payment in XXXX in the amount of {$250.00} ( {$220.00} is the minimum payment ). XXXX refused to provide any options on how to resolve the matter. I asked about waiving a few fees, to which were immediately dismissed by saying '' we can't do that because you were consistently late. '' Which I felt was extremely offensive, I felt like a criminal in that moment. In XXXX of last year, I lost my job which put me behind in payments. But I paid what I could. Now I am a product of the Pandemic, but I am still paying trying to resolve this responsibility. 
I was so angry by her statement that I responded back stating " I could easily let the account go and not pay anything! '' My experience with Citibank has been an extremely horrible ordeal. It is unfortunate that I stayed this long, over 10 years.</t>
  </si>
  <si>
    <t>Loan type is not named; using Consumer loan as the standing generic-loan tie-break.</t>
  </si>
  <si>
    <t>BB &amp; T failed to notify me of an increase in my monthly mortgage payment. I continued to make monthly mortgage payments and BB &amp; T continued to receive and accept my on time payments. In XXXX and XXXX BB &amp; T reported my mortgage payments as not as being paid for two months to the credit rating agencies. 
I learned of this when I called BB &amp; T to inquire as to why I had not received a new mortgage coupon payment book. I than wrote BB &amp; T and informed them I never received any notification from them regarding the change in mortgage rates and its effect on my monthly mortgage payment. I requested BB &amp; T provide proof of a delivery confirmation of mail sent to me and that it was successfully delivered. Any financial matter that could have an adverse effect on anyone 's credit rating should require a delivery confirmation. 
I have paid my monthly mortgage payment on time every month and BB &amp; T has received payment before the due date. The months in questions are XXXX and XXXX 2016 which XXXX shows funds posted, received and accepted by BB &amp; T. When spoke with a BB &amp; T representative I was informed that the payments were posted to my account. 
How can funds received for on time payment by BB &amp; T get posted and reported as late - where did my money go and why is BB &amp; T allowed to conduct such a questionable banking practice?</t>
  </si>
  <si>
    <t>On XX/XX/year&gt;, I sent {$180.00} via XXXX through Bank of America to a phone number by mistake. The payment was intended for a different person. The recipient is enrolled with XXXX under the name XXXX XXXX. 
As soon as I realized the error, I contacted Bank of America and requested recovery of the funds. I also attempted to contact the recipient, but the recipient blocked communication and did not return the money. 
Bank of America informed me that the transfer was considered authorized and denied my claim. I requested confirmation of recipient bank outreach and documentation supporting the decision, but I did not receive clear information or evidence that recovery efforts were successful. 
I am requesting assistance to ensure proper escalation, transparency regarding recovery efforts, and reconsideration of my request for reimbursement or recovery of the funds.</t>
  </si>
  <si>
    <t>Approxiamately on XX/XX/, I was in the process of purchasing a car from Carvana. I was still inputting information into their system and during that process they kept asking for income verification which I sent several times. XXXX XXXX XXXX XXXX XXXX XXXX XXXX XXXX, I explained to them that I don't use checks and sent them my bank statements. They said that they were having a problem veriying the information. The car purchase was requiring a {$1800.00} down payment that was supposed to be delivered once I had the final approval of the purchase. These folks decided to pull the money from my account while trying to still verify my income and the agent then told me that it was difficult to verify but they took the {$1800.00} from my XXXX XXXX XXXX account without having approved the transaction. It was so stressful that when my phone alerted me that they had taken the funds without me getting the car. It made me upset and told them to cancel the transaction the same day. I asked them why they even took the money before I was given the final approval and I got no response so they said they would cancel the transaction and ensure that I got my money by Monday or Tuesday. That never happened. I am filing this complaint to ask that they not be allowed to take money from anyones account without a confirmed approval of the loan for their vehicles. It is an imconvience for anyone once they take it out and then have to return the funds even when there is no deal. I think they shoudl ensure that the purchaser has a written and verified confirmation of the acceptance of the terms and fudning of the transaction.</t>
  </si>
  <si>
    <t>The $1,800 withdrawal arose from an auto-financing/loan approval process; per the Protocol, the loan product controls over the bank-account payment mechanism.</t>
  </si>
  <si>
    <t>XXXX XXXX DATE ; XXXX XXXX XXXX XXXX XXXX I HAVE NO KNOWLEDGE OF THIS. THIS IS FRAUDULENT ACTIVITY REPORTING ON MY CREDIT FILE I DID NOT CONSENT TO THIS ACT OF FRAUDULENT ACTIVITY I WOULD LIKE THIS REMOVED FROM MY CREDIT REPORT.</t>
  </si>
  <si>
    <t>***On XX/XX/XXXX we closed on our home with XXXX XXXX XXXX with our closing statment/HUD having a monthly payment of XXXX ***In XXXX I received a letter that Lakeview Loanservicing had bought the loan, our first payment was due XX/XX/XXXX in the amount of XXXX and change. 
***On XX/XX/XXXX my mortgage cleared for XXXX ***on XX/XX/XXXX my mortgage cleared for XXXX ***On XX/XX/XXXX I received a letter that my mortgage was passed due on a companies letterhead I had never heard of. I called and spoke with them, was told they own Lake view and my mortgage was never XXXX is is XXXX. After an hour on the phone I was told that they found the error, it was on their end. Everything would be fixed on XX/XX/XXXX. 
***On that following Monday I was called at work and told that I was past due on my morgage. Again took approximately 30 min she found the issue, said until XX/XX/XXXX I will get daily robocalls that my mortgage is past due. I told that Can not happen as I am at work everyday. 
***The calls stopped until XX/XX/XXXX, wherein I was told that my mortgage was past due as they applied my payment to my escrow account. I asked why, she said she had no idea. Placed me on hold after 30 minutes I was disconnected and was unable to call back. 
**At this point I don't know what to do, while I have never missed a payment or paid short, they continue to harass me with a different issue each month</t>
  </si>
  <si>
    <t>first time in XXXX someone opened 3 accounts under my name at Marcus Goldman Sachs and was able to take close to $ XXXX from my XXXX account. XXXX refunded me. 
Marcus is still investigating. 
Second time and Biggest problem is that although Marcus has been investigating and knows about these fraudulent accounts under my name since XX/XX/year&gt;, they allowed and additional account to be opened again under my Name in XX/XX/year&gt; but different address. I never had any accounts opened with my permission at Marcus Goldman Sachs and I demand that none shall ever be open without proper ID verification.</t>
  </si>
  <si>
    <t>I received a bunch of documents from the attorney XXXX XXXX XXXX XXXX, XXXX  ) representing XXXX XXXX XXXX XXXX XXXX with Account Summary and Payment Information. XXXX XXXX XXXX did not provide me, the consumer, with a Statement of Account. The attorney only provide an Account Summary from PayPal Credit. I believe that the account is over XXXX XXXX XXXX and the attorney is trying to collect payment after the State of Arizona Statute of Limitation.</t>
  </si>
  <si>
    <t>Hello I wanted to report a federal violation regarding PHH Mortgage services /XXXX. PHH has stolen {$23000.00} from XXXX XXXX XXXX XXXX  claiming they never received it. They also incurred charges onto the account illegally after the homeowners passing, not knowing the son lived ( s ) in the home. In XX/XX/XXXX, XXXX illegally charged account # XXXX a {$10000.00} fee and numerous hefty charges every month thereafter. XX/XX/XXXX, XXXX started double billing the account, when learned of the sons deed of transfer on the house. The account was not even negative in XX/XX/XXXX, and they have illegally sent the account into foreclosure proceedings against numerous federal statutes and violations. 
Thank you.</t>
  </si>
  <si>
    <t>The company is called XXXX XXXX XXXX and the associated phone number is XXXX XXXX XXXX XXXX. 
The person name is XXXX and she has called many third party contacts in regards to my account. The following below is who she have contacted : XXXX my neighbor on XX/XX/XXXX XXXX my mother on XX/XX/XXXX My employees at our help desk on XX/XX/XXXX The phone calls are excessive to the rate of each hour.</t>
  </si>
  <si>
    <t>I had an account that was submitted to Midland Funding for collection. I logged into Midland Funding 's website to resolve the account. When I did this I noticed there was another account in the collections tab for XXXX XXXX with a balance of {$9000.00}. I opted to chat with a represenative and when I asked her how I dispute these charges and I didnt know the account she told me there was nothing she could do to help me. I checked my credit reports and the account isn't on them for me to dispute there so I logged back into Midland Funding and chatted with another represenative who was slightly more helpful. I explained to her that I needed to dispute the account and any/all charges associated with it. I told her that this account wasn't on my credit report and I asked for details on the account. I was told the account was opened in XXXX, closed in XXXX due to non payment and that it had been placed with their agency for collection. Now when I log back into Midland Funding the status is now " in legal collection ''. I asked repeatedly how to dispute this and finally she told me I could either file a police report ( from XXXX????? ) or file a complaint with the FTC which I wasn't aware I could do. So in summary here is an account from XXXX, I happened to resolve an account with Midland Funding and now they are persuing me for 1 ) an account I didnt open and have no knowledge of and 2 ) Interestingly enough NOW they decide to contact me for payment on this account once I've satisfied another. I think what happened was they saw that I resolved an account now they are trying to get me to pay ( from XXXX ) an account I'm asking help with disputing and they dont want to help me with it. This is fraud and all I was asking for was help, I suppose I shouldn't have expected any help from a company who plans on suing me for an account I didnt open.</t>
  </si>
  <si>
    <t>No card is named; the complaint is explicitly about a collection agency pursuing an unknown account and putting it into legal collection.</t>
  </si>
  <si>
    <t>I was approved for a XXXX XXXX loan modification and had payments due in XX/XX/XXXX., XX/XX/XXXX, and XX/XX/2018. When I called to make the first payment on XX/XX/XXXX ( I had until the last day of the month ) they informed me my house had been sold in foreclosure to XXXX XXXX. I have been battling this with both Loan Depot and with XXXX XXXX ever since XX/XX/XXXX. and have been told numerous times that it was Loan Depot 's fault for not advising the foreclosure dept. They passed me off to different agents this entire time where I would have to explain the situation all over again. They sent out company wide emails while I was one the phone explaining that it was a wrongful foreclosure but nothing has come of it. XX/XX/XXXX XXXX XXXX sold my house to a renovation company and I have just received my 10 day notice to vacate. 
I've learned this is called Double-tracking and it is illegal. I can not find any attorney to help me for some reason. I will fight this till they kick me out of my home but this is my daughter 's home. She was born here. She is XXXX years old. I had $ XXXX in equity in the home but lost my business and had trouble making payments. I though this Flex Mod. was my saving grace and it ended up being the hardest thing I've ever dealt with in my life. Whoever reads this, I need help please</t>
  </si>
  <si>
    <t>I am filing a complaint against Cash app ( Block, Inc. ) due to inadequate customer service and unfair practices, which violate the Consumer Financial Protection Act ( CFPA ). Specifically, Cash App failed to take timely and effective measures to prevent and address fraud on their platform, leaving my account vulnerable and unprotected.
Furthermore, their dispute resolution process was unfair and deceptive, as they did not comply with error resolution requirements under the Electronic Fund Transfer Act ( EFTA ) and Regulation E. These actions have caused significant inconvenience and financial loss, and I seek appropriate redress for these violations.</t>
  </si>
  <si>
    <t>I am submitting this complaint due to a judgment and wage garnishment related to a charged-off XXXX account. I was never properly served with notice of the original lawsuit and only became aware of the judgment after receiving notice that my wages would be garnished. I did not live at the address sworn to be served at. I have attached my lease for the time frame in question. 
I filed a Motion to Strike the judgment on the grounds of improper service, but it was denied. The debt collector has not provided a valid affidavit or proof of service that complies with state law requirements. I believe this violated my due process rights. 
Additionally, I never received a proper debt validation or breakdown of the amount allegedly owed. The debt was originally charged off by XXXX, and I do not have confirmation that the current party attempting to collect has the legal right to do so. 
I am requesting the following from the CFPB : An investigation into whether proper service of process was completed before the judgment was granted. 
Confirmation that the entity pursuing the garnishment is authorized to collect on this debt. 
Full validation of the alleged debt, including the original contract, chain of assignment, and accounting of charges.
I believe this judgment and garnishment may have been obtained unlawfully and am requesting assistance in having it vacated if violations occurred. 
Thank you for your attention to this matter.</t>
  </si>
  <si>
    <t>Several years ago, Citibank closed both my checking account and my Citi XXXX credit card. The only explanation I received was that I was moving large amounts of money and suspected of hiding funds. This is not correct. All transactions were legitimate, and I have always paid all required taxes. 
On XX/XX/year&gt;, I emailed Citibanks Executive Response Unit ( XXXX ) requesting a review of the closure, confirmation of any internal flags on my record, and guidance on how to restore my relationship and reapply for the XXXX card. I also contacted XXXX XXXX XXXX XXXX the same day. 
As of today, more than XXXX weeks later, I have received no response from Citibank or XXXX. I am requesting regulatory assistance to obtain a written explanation of the closure, removal of any improper internal flags, and a clear path to reestablish my relationship with Citibank.</t>
  </si>
  <si>
    <t>Both checking and credit-card accounts were closed; selected Bank account or service because the broader banking relationship/account closure is the stated focus.</t>
  </si>
  <si>
    <t>Bank of America has processed a payment against my checking account without permission. They have refunded the credit to my checking account and now state that I owe them the amount of the credit. My balance is {$0.00} but they are stating that I owe them.
I have bank statements and documentation to back up this claim. I have called customer service to close the account and was hung up on by the representative. I would like someone to contact me ASAP.</t>
  </si>
  <si>
    <t>Despite the heuristic raw credit-card label, the narrative is specifically about an unauthorized payment and closure of a checking account; Bank account or service.</t>
  </si>
  <si>
    <t>I received my first mortgage payment statement on XX/XX/XXXXXXXX  and it showed {$300.00} they were charging me for taxes a month. I paid it, but was told they over charged for taxes. I called Triad XX/XX/XXXXXXXX  and spoke with a Supervisor, XXXX, and said that is what my county Treasurer sent to them that that is what the estimated tax are. I said no that I am not paying that amount in taxes because they over charged me. He said to go to my County Treasury Office and they would give me the amount to charge. I went to my County Treasury Office and they said they don't show anyone living at this address. I then called Triad back on XX/XX/XXXXXXXX  and spoke with XXXX again and he said my County Treasury Office sent them this information. I have been up to my County Treasury Office three times and they said they never sent them any information about this. I then went to the County Assessors office and they showed me that the place I'm living at has not been assessed yet and that I don't owe any taxes until XXXX. I then called Triad back and talked to XXXX XXXX who is the contact information on the loan. She said the same thing that that is what my County Treasury Office sent them. I asked for a copy of exactly what the XXXX County Treasury sent to them and I have not received it. I then called Triad again on XX/XX/XXXXXXXX  and got the same thing said to me. I called Triad on XX/XX/XXXXXXXX  and nothing is being done about this. I don't know where they pulled this figure from but Triad  is known to overcharge for taxes in this Mobile Home community.</t>
  </si>
  <si>
    <t>I have notified Experian, XXXX and XXXX several times regarding the XXXX XXXX account. XXXX XXXX is refusing to discuss collection for XXXX account or accept any payments from me stating they are no longer handling account it is with a 3rd party. The is no other company reporting this account to my credit report, only XXXX XXXX. I have attempted several times to resolve this account with XXXX XXXX with the latest being today XX/XX/2021 at XXXX eastern, I spoke with XXXX whom once again refuses to discuss account, accept payment or even send a current dated bill for the balance owed. I have recorded conversations of XXXX XXXX refusals. I have filed several disputes advising Experian, XXXX and XXXX of the issues with XXXX XXXX and the recorded conversations with contact information to reach me to hear them. All 3 continue to close my disputes stating they verified account details without investigating the issue Im disputing. XXXX XXXX should not be allowed to remain on my credit report if they are refusing to discuss account, accept payment for account or even send me a current bill for account. At this point Im ready to get a lawyer and sue Experian, XXXX, XXXX and XXXX XXXX because Ive tried for several months to resolve this myself to no avail.</t>
  </si>
  <si>
    <t>my paypal account was blocked on XXXXXXXX XXXX for 120 days. on XX/XX/year&gt; I received a letter saying my money was available, but I couldn't withdraw it.I just want to get my monry back, it '' s being held illegaly.</t>
  </si>
  <si>
    <t>I applied for Chase freedom Unlimited credit card and was denied. Upon denial I contacted Chase, I spoke with a representative that told me I was denied because of my credit score and more information would be sent by mail. I received a notice by mail stating the same thing, that I was being denied due my credit score. I then sent Chase an adverse action letter and a notice of default/ opportunity to cure and they have now defaulted. The silence from Chase is XXXX.</t>
  </si>
  <si>
    <t>I called and spoke with two different customer service agents. The first agent was of no use and hung up on me. I hope their call is recorded so they can disciplined. The second call was more pleasant, but not helpful. 
Upgrade is misallocating my loan payments. 
My XX/XX/XXXX payment of {$85.00} was my normal XXXX payment that due on XXXX ( my normal due date is the XXXX of every month ). Then, on XX/XX/XXXX, I made another {$100.00} regular payment ( that is, it was NOT A PRINCIPAL ONLY PAYMENT ). That should covered my XX/XX/XXXX payment due date. However, it did not. On XX/XX/XXXX, I made yet another payment and your web interface for my loan clearly stated that it was supposed to goes towards the XX/XX/XXXX payment. Thus, leaving my XXXX payment that would go towards XX/XX/XXXX. T Initially, your system did this without issue. However, for some reason your system has improperly changed things and misallocated my XX/XX/XXXX payment. Thus, causing a chain reaction to the XX/XX/XXXX payment and the subsequent due dates. I have provided you with a screenshot of my payment history and payment breakdown between principal and interest paid.</t>
  </si>
  <si>
    <t>Loan type is not named; the complaint is about misallocation of loan payments, so Consumer loan is the generic-loan fit.</t>
  </si>
  <si>
    <t>Citizens One Bank is purposefully making it difficult to remove PMI. 
I submitted a request to start the process 3 weeks ago and have not received a call, email, or secure message from the company with ALL information for removing it. They have only sent a message saying they will send another message via snail-mail. 
They REFUSE to give me the contact information for the PMI department.</t>
  </si>
  <si>
    <t>I am a borrower impacted by the Joint Consolidation Separation Loan Act I contacted Mohela about our loan # XXXX by phone the beginning of XXXX asking for a 30 day forbearance and they verbally granted it. But they are still sending a bill for it. I emailed them on XX/XX/XXXX, XX/XX/XXXX, XX/XX/XXXX, XX/XX/XXXX, XX/XX/XXXX explaining this to them and they only responded with an explanation that I already have a forbearance on this loan, but they are referring to my other loan # XXXX which is part of the pandemic forbearance. I tried calling and was placed on hold for 120 minutes and when someone answered, they took my personal information and put me on hold back at the beginning cue that said " your approximate hold time is 100 minutes. I had to go back to work and could not hold for an additional 2 hours. 
I also completed my annual recertification information on XXXX and they are sending me letters stating that I have not done it and increased my payment by {$300.00}. 
I also emailed asking for a PSLF forbearance due to our application sent in for the temporary waiver and they have not granted it.</t>
  </si>
  <si>
    <t>The complaint is about a Mohela student loan and its forbearance/recertification servicing; Consumer loan applies.</t>
  </si>
  <si>
    <t>Around XXXX of 2023 i was logged out of my account and was called that my account would be closed for fraud and no further details were explained not even what for until i talk to someone at the branch and was told a checked was bounced in my mobile account which I showed her I could not get into because my account was locked out to me I asked to provide the check and asked to compare signature that was signed and the hand writing nothing else was explained</t>
  </si>
  <si>
    <t>Hello, I find it highly problematic that Citibank is refusing to close client 's credit card accounts. I understand that they are trying to catch up with other big retail banks in the credit card business, but I think their business practises are highly unethical and unprofessional. My detailed experience is as follows. 
I signed up for a Citibank credit card a couple years ago. However, I didn't really like their offerings compared to their competitors, so I rarely used the Citi credit card. Last summer, I noticed a fraudulent activity on that card which prompted me to call Citibank to close my account. However, their customer service staff were extremely resistant with my request. They kept on going in circles asking me why I wanted to close the account and started offering me things I don't need in order to keep my account open. I was in a rush when I called, so I decided not to bother closing it. 
A year later, I decided to call Citibank again to close the account. They did the same tactic where they kept on asking me why I wanted to close the account. I answered, " I don't use your card and I want to close it ''. However, they refused to take that as an answer. They responded : " For compliance reasons, we need to know why you want to close the account ''. I said I already told them why I want to close the account. And then they started offering me 10,000 " ThankYou points '' to prevent me from closing the account. After wasting half an hour of my time, I became very impatient and I had to tell them, this is my account and I have the right to close it. I told them that I would report the to the regulators if they refuse to close my account. Only until then, they closed my account. 
I find their behaviour highly manipulative and unprofessional. I want to bring this to the attention of the regulators, as I think this is highly problematic and I have not experienced similar behaviour from other banks. 
Regards, XXXX</t>
  </si>
  <si>
    <t>I had a credit card account with chase bank the was closed due to payment issue. But i paid down full amount on the time. My credit score is outstanding im trying to apply for a credit card with chase and its denying.</t>
  </si>
  <si>
    <t>Kia Motor Finance has a deferment program which I applied for and instead of them trying to help me they refuse to - my loan will be 60 days late by the XXXX of this month and they will not help - they say they will approve you and then tell you that there is a document that you need to sign and send back however in the meantime they do not sent the document and this will impact my credit - they are not being helpful at all.</t>
  </si>
  <si>
    <t>The product is an auto loan from Kia Motor Finance; Consumer loan applies.</t>
  </si>
  <si>
    <t>Have filed multiple different disputes with Equifax for an account on my credit with XXXX XXXX XXXX that was opened under fraud. Each time there is no resolution, the account continues to show up on my report causing me to lose time by filing disputes and delay any credit related purchases that I may have. XXXX and XXXX have both already removed the account without delay. Complaints have already been filed with the FTC and Equifax still will not take action.</t>
  </si>
  <si>
    <t>Dear NAVY FEDERAL CR UNION ], This letter serves as confirmation that the debt associated with my then account has been paid in full as of [ XX/XX/year&gt; ]. No further balance remains on this account, and it is now considered closed. 
We appreciate your prompt attention to this matter. If applicable, we will notify the relevant credit reporting agencies to reflect the updated status. 
Please retain this letter for your records. Should you have any questions, feel free to contact me.</t>
  </si>
  <si>
    <t>Product is not specified; selected Credit reporting because the requested action is to reflect the paid-in-full status with credit reporting agencies.</t>
  </si>
  <si>
    <t>I reported my card to cash app as stolen, the cancelled my card never put a provisional credit on the account even after the police report was sent to them. They cancelled the card again and said they were closing the case. XX/XX/XXXX I lost a couple debit cards and credit cards.</t>
  </si>
  <si>
    <t>I have a credit card from wells Fargo that I have no knowledge about. I have never opened a card this bank. It reports on my credit report that it was opened I. XXXX of 2026. I called Wells Fargo several times but they keep putting me to different departments with no resolution. I even tried to talk to their fraud department and they said they cant do anything unless I provide them the full card number.</t>
  </si>
  <si>
    <t>Was I suppose to receive the response from the company dated  XX/XX/XXXX ? I never received that response in the mail or by email or by Ditech website. I only just viewed it on this site today Complaint Numbered #  XXXX . My Internet access is spotty so I ca n't often retrieve information/emails/etc. Further, when I 've gone on th e Ditech website this response was not post there either. Thus, Ditech has initiated fore closure process with a firm called  XXXX   XXXX   XXXX . Attached is my response to a letter  XXXX   XXXX   XXXX  sent me on  XX/XX/XXXX . Could CFPB please inform Ditech,   XXXX   XXXX   XXXX   XXXX    XXXX  and/or any of their representatives that they must actually respond to the complainer and not only CFPB. Had I seen this response several months ago, I would have initiated action on my part.</t>
  </si>
  <si>
    <t>Debt Collector ( s ), Obligors, Debtors XXXX and XXXX XXXX are attempting to collect an alleged debt of the Consumer. The named debt collectors are engaged in illegal acts by simulating a judicial court affiliated with the United States. The debt collectors were served numerous notices under federal consumer statutes but fail to comply. The debt collectors are attempting to seize the private property, consumer goods of the Consumer under the guise of Foreclosure which is not being performed in a competent judicial district under 15 USC 1692i. The debt collectors are not exempt pursuant to XXXX, XXXX under federal law. This debt collector is taking illegal non judicial actions in violation of the FDCPA, 15 USC 1692, Identity Theft, XXXX. The FTC has a report by the consumer.</t>
  </si>
  <si>
    <t>Complaint to CFPB regarding Capital One I am filing this complaint against Capital One regarding unauthorized electronic funds transfers and inconsistent dispute handling. 
Two separate disputes were opened regarding transfers to similarly named companies : 1. Dispute # XXXX payment via link to XXXX XXXX approved by Capital One. 
2. Dispute # XXXX payment via XXXX to XXXX XXXX denied by Capital One. 
Facts common to both disputes : The transfers were made without my consent ; I had no contractual relationship with the actual recipients. 
The transfers were misrepresented : I was provided payment details for a company whose name matched the company with which I had a contract. 
The first dispute was recognized as unauthorized and approved, but the second dispute was denied solely because the payment was made via XXXX, with Capital One claiming that XXXX does not assume responsibility for authorization.
Legal basis : The key issue making the transfers unauthorized is misrepresentation via similarly named companies, which renders the transfers unauthorized under Regulation E ( 12 CFR Part 1005 ).
Capital Ones denial of the second dispute, despite identical evidence and circumstances, constitutes double standards and a violation of federal consumer protection law.
I request that CFPB : 1. Investigate Capital Ones inconsistent application of Regulation E ; 2. Require Capital One to reopen and fairly adjudicate Dispute # XXXX ; 3. Ensure that the unauthorized funds are returned to my account.
Attachments : Correspondence with the Russian company ; Signed contract with XXXX XXXX ; Screenshots and payment instructions ; Bank statements ; Registration documents for XXXX XXXX ( XXXX ).</t>
  </si>
  <si>
    <t>The company provided documentation ; however, the information being reported is inaccurate. The account references bankruptcy-related status, but I have never filed for bankruptcy. This is incorrect and misleading information being reported on my credit file. Additionally, this account dates back to 2017 and is near or beyond the allowable reporting period. I am requesting that this account be fully investigated and either corrected to reflect accurate information or removed entirely from all credit reporting agencies, including XXXX XXXX, and XXXX. I also request written confirmation once this issue has been resolved.</t>
  </si>
  <si>
    <t>I am writing to file a formal complaint regarding repeated phone calls from a debt collector during my XXXX to the XXXX theater. These calls have occurred multiple times during the night and early morning hours, significantly disrupting my sleep schedule. 
Dates of the calls : The calls typically occurred from XX/XX/XXXX to XX/XX/XXXX, often between XXXX XXXX  and XXXX XXXX  local time. 
Impact on my sleep : Due to the time zone difference, these calls were particularly disruptive to my rest. I was repeatedly awoken, leading to a lack of adequate sleep necessary for my duties. 
Consequences : As a result of these disturbances, I have been late for work on several occasions. This not only affects my performance but also impacts my overall mental and physical health during a critical time in my XXXX. 
I have attempted to inform the debt collector that I am currently serving overseas and requested that they cease calling during these hours. However, my requests have not been respected, and the calls continued.</t>
  </si>
  <si>
    <t>I am filing a complaint regarding inaccurate credit reporting by XXXX XXXX on my vehicle loan for a XXXX XXXX XXXX. 
The account shows a charge-off balance of {$25000.00}. However, XXXX  repossessed the vehicle and received {$11000.00} from an auction on XX/XX/XXXX. This payment is reflected in their own documents but was never properly applied to reduce the balance. 
Additionally, the balance fluctuated month to month between {$36000.00}, {$36000.00}, and {$37000.00} in XXXX, even though no new charges or payments were applied. This violates the Fair Credit Reporting Act and results in a misleading and inaccurate representation of the debt. 
XXXX XX/XX/XXXX letter claims the reporting is accurate, yet provides no clear calculation of how they reached the current balance. 
I previously disputed this through Experian, but no correction was made. I am requesting deletion of this tradeline due to XXXX failure to provide consistent, accurate, and verifiable information.</t>
  </si>
  <si>
    <t>THIS IS NOT A DUPLICATE! same problem, same company, different co-signer. 
I have been asking Navient to release my cosigners for 8 months now and can not get any specifics on why they are refusing to do so. 
I sent a letter to Navient, which they received on XX/XX/XXXX, requesting an explanation, in detail, for why they refuse to release cosigners even though we met their stated requirements. As of today, XX/XX/XXXX, they still have not answered me. Plus they keep sending ridiculous answers for why they can not answer my questions. Playing games to drag it out longer so they get what they want. terrible, terrible, terrible, crooked, lying, stealing company. Some things they tell you only over the phone, some things they only tell you snail mail, some things they only tell you by fax, it's absolutely criminal.</t>
  </si>
  <si>
    <t>I purchased a plan through a company called XXXX XXXX XXXX. I financed my plan with this company that uses Universal Account Servicing to do their billing. XXXX XXXX XXXX uses false advertising and misleads the public as to what services they are selling. It was not until my 2nd couching session that I realize what I had signed up for which was well out of my 72 hour cancellation period and I had been lied to. Every phone conversation that I have ever had with XXXX XXXX XXXX   and Universal Account Servicing has been recorded to an app on my phone. I'd be happy to share these conversations if needed. I have tried to cancel my account and contract with both companies. XXXX, has deleted me out of their system except for the financial part. UAS has told me that all they need is something in writing from XXXX  to cancel my contract. I have emailed UAS 2 different phone conversations with XXXX  where 2 different representatives of their company state that the contract has been cancelled, which is obviously a lie after I spoke to UAS. My problem with UAS is that they do business with a company that has salesman that lie to the public, their consumers, and that use false advertising and refuse to cancel my contract.</t>
  </si>
  <si>
    <t>The financed product is nonstandard (a service plan), but the complaint is centered on the financing/billing obligation; Consumer loan is the closest fit.</t>
  </si>
  <si>
    <t>I received a XXXX credit card that I did not apply for. I noticed in my email this morning an email showing that I had a payment due XX/XX/year&gt;, with a balance of {$860.00} and the new balance is {$880.00}. Which I have not received any goods or services for. I have called XXXX and reported the fraud and an investigation has been started. This was in addition to XXXX separate letters that I received in regards to XXXX different credit card applications which I have not applied for.</t>
  </si>
  <si>
    <t>XX/XX/2025 {$150000.00} dated XX/XX/2025, {$350000.00} dated XX/XX/2025, {$65000.00} dated XX/XX/2025 and {$10000.00} dated XX/XX/2025. We received your request for a follow-up for this wire transaction / reference number : XXXX ; XXXX ; XXXX and XXXX Subject : Urgent Help Needed Fraudulent Wire Transactions Totaling {$570000.00} I am writing this message in deep distress and with great disappointment. On XX/XX/XXXX, I was involved in an accident and lost my wallet and phone. 
A '' er this incident, I discovered that XXXX wire transfers totaling {$570000.00} were made from my account without my knowledge or authorization. 
I suspect someone used my lost personal information to carry out these transactions. When I contacted the receiving party, they told me the money was sent to a platform called " XXXX XXXX XXXX. '' I told them I have no idea who this company is and that I never traded on any platform. I begged them to return my money, but they responded very rudely and unhelpfully. 
This is 100 % a case of fraud. I have already reported it to my bank, and they are currently investigating. They mentioned they would attempt to recall the wire transfers from the recipient 's bank, but I am unsure if I will get my money back. 
This money represents 10 years of hard work and savings. I even sold my home in XXXX to save this amount with the intention of buying a house in the XXXX. Now, everything is at risk, and I am completely devastated. 
Please, I am begging for help. I dont know what to do, and I desperately want my money returned.</t>
  </si>
  <si>
    <t>My XX/XX/scrub&gt; 2024 payment was made prior to my loan being moved over to the new Mohela platform. The amount was taken out of my bank account yet it did not get applied to my loans by the organization and I had to pay again as it showed I was delinquent. I have contacted them XXXX times via secure message and once via phone in order for that to be rectified. I have been double charged and was never reimbursed for the extra payment. I would like for that to be done quickly as it has now been XXXX  months since my complaint and nothing has been done.</t>
  </si>
  <si>
    <t>Both loan and bank-account language appear, but the substantive complaint is that a loan payment was not credited and the borrower was double-charged; Consumer loan.</t>
  </si>
  <si>
    <t>I am submitting this complaint regarding an issue with my credit report that is negatively affecting my financial standing. I have made multiple attempts to resolve this matter directly with the creditor/furnisher, but they have failed to provide an adequate response. Below are the details of my complaint : XXXX. Charged-Off Account or Collection Account Creditor/Collection Agency Name : SXXXX XXXX XXXX XXXX XXXX XXXX XXXX XXXX XXXX XXXX XXXX XXXX XXXX XXXX XXXX XXXX XXXX XXXX XXXX XXXX XXXX XXXX XXXX XXXX XXXX XXXXXXXX Issue : This account was charged off/placed in collections without proper notification or validation of the debt. 
I requested validation of the debt per my rights under the Fair Credit Reporting Act ( FCRA ) and Fair Debt Collection Practices Act ( FDCPA ), but the creditor/collection agency failed to provide sufficient documentation. 
The reported balance and payment history contain inaccuracies that I have disputed with the credit bureaus, yet the creditor refuses to correct or remove the erroneous data. 
The account was sold to a third-party collector, yet it remains listed under the original creditor, creating duplicate reporting and unfair harm to my credit profile. 
I am requesting the immediate deletion of this inaccurate and unverifiable account from my credit report or proper documentation proving its validity.</t>
  </si>
  <si>
    <t>Both collection and reporting language appear, but the requested remedy is correction/deletion of inaccurate credit reporting; Credit reporting.</t>
  </si>
  <si>
    <t>I have my private loans consolidated to the lowest amount that Sallie Mae, the lending service that issued my private loans for school, however it is still an amount that I can not sustain with the job I have now. The amount that I pay each month is solely to pay off the interest ; none of my payments go toward the balance that I owe. This, along with paying rent for my apartment ( which is a lower amount than I owe Sallie Mae ), has become unsustainable financially. I pay {$740.00} a month to Sallie Mae. My rent is {$700.00}. I have to work XXXX XXXX XXXX  jobs that are hardly above XXXX XXXX  in my state to keep lenders from badgering my co-signer. I would like to know if it is possible to lower the amount I owe Sallie Mae each month. The loans have already gone through a period of forbearance and according to them, through direct conversation, this is the lowest they can bring the total down. It is not enough when taking into my financial limitations.</t>
  </si>
  <si>
    <t>The lender is identified as Sallie Mae and the loans are for school, so Consumer loan applies; the heuristic simply reflects missing mortgage/consumer-loan wording.</t>
  </si>
  <si>
    <t>I sold an item and shipped it via USPS Media Mail to a buyer named XXXX XXXX. She filed a PayPal dispute claiming she never received the package. This was false. She refused delivery and had the package returned to sender. I have the returned package in hand with a USPS label clearly marked " Return Postage Due = {$5.00} '' dated XX/XX/year&gt; and stamped " Refused. '' Despite my evidence, PayPal ruled in her favor. The fraudulent dispute resulted in a {$19.00} reversal against me, plus I was charged {$5.00} in return postage caused directly by her refusal. Total loss : {$24.00}. I am requesting PayPal reopen and reverse this decision.</t>
  </si>
  <si>
    <t>On XX/XX/year&gt;, I noticed multiple unauthorized XXXX XXXX charges on my Chime debit card ending XXXX, totaling approximately {$290.00}. I immediately turned off my card, reported the transactions, and had a replacement card issued. 
At the time these transactions occurred, my original card was turned off in the Chime app, meaning it should not have been able to process any debits. I submitted my official XXXX XXXX purchase history, which clearly shows no matching transactions, proving that the charges were not made on my XXXX account or any of my devices. 
I filed my formal dispute on XX/XX/year&gt;, after the transactions finished pending. Chime closed the dispute in less than XXXX hours over a weekend without conducting a reasonable investigation or providing any verification data. The only proof Chime supplied was a list of transaction entries, with no device logs, IP data, or merchant authorization details connecting me to the purchases. 
Under Regulation XXXX ( XXXX CFR XXXX ), financial institutions must perform a reasonable investigation before denying a consumers claim. Chime and its partner bank, XXXX XXXX XXXX, XXXX, failed to meet that requirement.</t>
  </si>
  <si>
    <t>Mostly all of XXXX  Ive been getting random charges of purchases clearly I wasnt making being in my hometown and the charges coming out from different states. 
XXXX XXXX XX/XX/XXXX there have been multiple withdrawals and purchase attempts with some actually going thru because I didnt have my card locked. 
XXXX of XXXX  someone transferred a large amount of my funds to an unfamiliar person for well over {$600.00}! 
From XXXX to current I continue to get random charges of attempts with some being successful to merchants like XXXX. 
All of these problems came with me calling the hotline number online only to be told We will look into it and get back and never recieved any call or feedback.</t>
  </si>
  <si>
    <t>I am writing to formally contest the inclusion of fraudulent account in my Experian credit report. Despite submitting a dispute letters and the required documentation to the Federal Trade Commission ( FTC ), as per your guidelines, this account persist on my Experian report. After uncovering this fraudulent account, I contacted the relevant bank, which acknowledged its fraudulent nature and assured me of its removal from their records. Subsequently, XXXX and XXXX have both expunged this account from their records after verifying its fraudulent status. 
I am puzzled as to why Experian continues to report this fraudulent account, especially since the other credit bureaus have already removed it. I have completed all necessary steps and furnished all relevant documentation to substantiate my claim of identity theft. 
I hereby request a comprehensive investigation into this matter and the immediate removal of this fraudulent accounts from my Experian credit report. The bank has confirmed the fraudulent nature of this account, and its persistence on my credit report is unjustified and detrimental to my creditworthiness. 
XXXX XXXX XXXX XXXX XXXX XXXX XXXX XXXX XXXX XXXX XXXX</t>
  </si>
  <si>
    <t>I write to follow up on Complaints XXXX of XX/XX/XXXX and XXXX of XX/XX/XXXX. Barclays responded to such complaints yet the issue of an overcharge on my account remains unresolved since early XX/XX/XXXX when I first contacted Barclays about such overcharge. Barclays ' measures have been temporary, reversed, and temporarily reinstated. Thus, the issue still remains unresolved. In addition to the documentation I have already provided Barclays more than once, I am willing to coordinate a conference call between the merchant and Barclays if that will help Barclays conclude its investigation or request any further specific documents it may so require. I am eager to conclude this matter and close my account with Barclays. 
I have called Barclays yet one number included in its last letter of XX/XX/XXXX is a wrong number and no person answers the " direct line '' provided in such letter. I have left messages and await a response. 
The time it is taking to resolve this matter is extraordinary.</t>
  </si>
  <si>
    <t>No card is named, but the unresolved overcharge on a Barclays account and request to close the account are most consistent with the Credit card scope.</t>
  </si>
  <si>
    <t>Was paying XXXX and Navient $ XXXX+ faithfully every month. I went through a financial hardship and called in several times to see if I could get the monthly amount decreased. XXXX and Navient told me that they could not grant that request and that I would have needed to reach out to another financial institution such as my bank to see if they could possibly refinance it with a lower interest rate.</t>
  </si>
  <si>
    <t>I am filling a complaint against Cash App ( Block INC. ) due to inadequate customer service and unfair practices, which violate the Consumer Financial Protection Act. Specifically, Cash App failed to take timely and effective measures to prevent and address fraud on their platform, leaving my account vulnerable and unprotected. Furthermore, their dispute resolution process was unfair and deceptive, as they did not comply with Electronic Fund Transfer Act and Regulation E. These actions have caused significant inconvenience and financial loss and i seek appropriate redress for these violations</t>
  </si>
  <si>
    <t>In XX/XX/2021, our mortgage payment was {$1500.00} instead of the normal {$1100.00}. I paid it and thought it was the difference for insurance. XXXX came around and it was high again. After tons of call and inquiring, they filed my property tax incorrectly. I got the necessary paperwork to them. They told us to use the 15 day grace period to allow them to correct the numbers and pay our mortgage. They say we will owe {$1500.00} this month. We should get a lower payment plus last months overpayment reimbursement. Ive called 29 times. Ive been told to shut up, Ive been hung up on 5 times. I get told different things every time. No one knows what to do or how to help. They just say pay the {$1500.00} and they will fix it. I need to know what happened to the {$600.00} escrow check they sent out, when it will be fixed, and to be certain it wont reflect on my credit score. Most unprofessional company Ive ever experienced.</t>
  </si>
  <si>
    <t>I received a phone call at my place of employment from someone who identified them self as a XXXX XXXX at XXXX who was trying to collect a debt. This is the first contact I have had with this party and have received no mail etc I do not know the name of the company and I have no address to send a letter to request a verification of said debt. I do not want to be contacted by phone at work or at home and would prefer email contact. I need verification of said debt and original creditor and any supporting documents.</t>
  </si>
  <si>
    <t>On XX/XX/year&gt;, I contacted my mortgage servicer to request that my {$10000.00} XXXX XXXX, XXXX property tax bill be paid from my escrow account. During this call, I provided the servicer with a copy of the tax bill and the Property Index Number ( PIN ), which are the documents needed to process the payment. The representative stated they needed to verify the propertys legal description with XXXX XXXX and asked me to call back in one week. 
On XX/XX/year&gt;, I called for an update. The servicer reported no progress and instructed me to wait until XX/XX/year&gt;, even though the tax payment is due XX/XX/year&gt;. No explanation was provided for the delay despite the servicer having all required documentation. This delay puts me at risk of a late property tax payment through no fault of my own. 
During the XX/XX/year&gt; call, I requested to speak with a supervisor. I was told a supervisor would return my call within 24 hours. I did not receive any follow-up call. The servicer has failed to process a routine escrow disbursement in a timely manner and has not provided adequate communication or escalation.</t>
  </si>
  <si>
    <t>I Have an account in Coinbase with XXXX XXXX XXXX. Since 2 months I cant sell, transfer or buy cripto currencies because the account is under revision. I Have tried to speak with coinbase and its impossible, no answer. Calls, email... but no solutions. 
I would like to send my cripto currency. 
Thanks</t>
  </si>
  <si>
    <t>Navy Exchange ( NEX ), the " XXXX '' onboard US XXXX bases, offers currency exchange for personnel stationed overseas ( in XXXX ) to  pay their off-base rent. However, the exchange rate offered is always 2-3 % less than the Bank Rate for US dollar to XXXX XXXX exchange. 
To offset this, the Navy Exchange provides a {$10.00} gift card for use at the NEX, for each month paid. However, this is inequitable because the gift card is always for the same amount, regardless of the monthly rent amount ... so a single military member with an $ XXXX/month ( equivalent ) rent payment derives more proportional benefit from this {$10.00} gift card than a military family whose rent could be closer to $ XXXX ( equivalent ).</t>
  </si>
  <si>
    <t>It has now been over 30 days since our 2 loans were paid in full to Bayview yet we have not received the return of our escrow funds. They owe us over {$17000.00} and they are not answering their phones. NOTHING gives them the right to keep my money.</t>
  </si>
  <si>
    <t>Escrow funds returned after loans were paid off strongly indicate mortgage servicing; Mortgage is the closest product scope.</t>
  </si>
  <si>
    <t>Cashapp has deactivated my account saying I violated there terms. I reached out to them by text, email, and phone and they say they can not specify what activity occurred causing the deactivation. Ive had my account for years I use it to pay bills and send and recieve money I told them I need to know what the violated activity was that caused the deactivation because my concern is could I have been hacked, scammed, a XXXX XXXX XXXX XXXX if so I need to know so I could take further action. They would not help in any way all they said was I was deactivated do to activity linked to my account. Well what activity .. no answer they couldn't nor wouldn't tell me.</t>
  </si>
  <si>
    <t>On XX/XX/XXXXXXXX  while vacation in XXXX, MO we attended an owners ' meeting and a man named XXXX XXXX sold us ownership in XXXX XXXX XXXX for {$3900.00}. This company was supposed to rent out any unused XXXX XXXX points and pay us for them. 
After receiving our XXXX XXXX points in XXXX, I contacted or attempted to contact XXXX XXXX to find out how to proceed. I called the numbers provided on XXXX XXXXXXXX XXXX business card but the numbers are no longer in service ( XXXX and XXXX ). I also emailed XXXX and that address does not exist. I contacted the executive offices of XXXX in XXXX where we supposedly purchased ownership with XXXX XXXX and they informed us that XXXX XXXX had been fired. 
I had no way to get in touch with this group and I contacted the credit card company to which the {$3900.00} was charged and informed them that this was a fraudulent charge and that we were unable to contact anyone ( even the info provided on the charging line of the credit card statement ( XXXX ) and that we had not received any services from them for which we had paid. The card is a Barclays XXXX XXXX card. Barlays immediately issued a provisional credit for the {$3900.00}. 
On XX/XX/XXXX I received a letter from Barlays indicatingthat indicated that they had received a response to validate the transaction and that the merchant had not violated the terms and condidtions of the sales agreement and that the {$3900.00} would be reapplied to our account. 
Again this morning XX/XX/XXXX I attempted to contact XXXX XXXX using the email address provided on the contract and received a reply that the address does not exist ( XXXX ) and I called the phone number provided ( XXXX ) and the number has been disconnected. 
I am going to provide this additional information to Barclays and continue to protest the charge because evidently either this company does not exist or has gone out of business because WE HAVE NOT RECIEVED ANY SERVICES that this contract provides.</t>
  </si>
  <si>
    <t>XXXX XXXX restricted my cards because someone paid the balance off on both of my credit cards without my knowledge of who it was they wanted me to submit a bank statement to prove it was not me but the card that paid the bill off in full was not mines I do not have an account with that bank after not being able to submit that statement they returned the balances back to my credit cards and close my account my accounts were in good standing at my venture card was {$2800.00} and my quick silver was {$2500.00} is what was paid off and than returned back to the original balances I tired to explain to the fraud department but nothing happen I called them everyday for XXXX weeks and they were still asking for a statement from me and I kept telling them I do not have a statement that is not my account they also tried to charge cell phones at XXXX but the card was declined this all happen in XX/XX/year&gt; and they paid my cell phone bill for {$100.00}</t>
  </si>
  <si>
    <t>I am a victim of identity theft. The information listed below, which appears on my credit report, does not relate to any transaction ( s ) that I have made. It is the result of identity theft. 
Account Number XXXX XXXXXXXX XXXX {$4400.00} POSTED ON XX/XX/2021 CREDIT REPORTING FOR OVER 7 YEARS GOES AGAINST FAIR CREDIT REPORTING ACT ALSO A FRAUDULENT ACCOUNT</t>
  </si>
  <si>
    <t>CashNetUSA ( https : //www.cashnetusa.com/ ), a Payday loan provider, fraudulently charged my checking account via my debit card XXXX payments of {$500.00} on XX/XX/2023 ( total {$1000.00} ). 
I have never heard of CashNetUSA, and I have never taken a payday loan from them or anyone else. I have called them ( XX/XX/XXXX conversation with Cust. Service Rep XXXX XXXX ) to confirm that I do not &amp; never have had an account with them. They will not submit my claim to their fraud department unless I have a police report ( XX/XX/XXXX conversation with CSR XXXX ' ), but my local police will not file a police report without a notarized letter from CashNet saying I was defrauded ( XX/XX/XXXX police visit ), which CashNet will not provide, so I do not have a path forward. 
I have cancelled my card with my bank and the bank has launched an internal fraud investigation, but CashNetUSA is knowingly accepting fraudulent money as they have confirmed with me that, according to their own records, I have never done business with them. If needed, I have recordings of these phone conversations.</t>
  </si>
  <si>
    <t>Both a payday loan provider and a checking-account debit are mentioned, but the complaint is about unauthorized funds being pulled from the account; the funds-movement rule points to Money transfer or service.</t>
  </si>
  <si>
    <t>I fell victim to a multilayered scam operation orchestrated by XXXX ( XXXX ) ( the Company ) with the design, development, manufacturing, promoting, marketing, distributing, labeling, and/or sale of illegal and outright fraudulent investment services, all of which aim at contributing to the goal of robbing and defrauding clients through a predetermined cycle of client losses to gains in the equivalent of XXXX USD which was transferred from my wallet utilizing Coinbases services.</t>
  </si>
  <si>
    <t>I am filing this complaint regarding a medical collection account being reported on my consumer credit reports by Aargon Agency , Inc . 
This account is inaccurate, unlawfully reported, and should be immediately deleted for the reasons outlined below. 
First, I never authorized the original medical provider or any third party to disclose my protected health information ( PHI ) to this collection agency for the purpose of credit reporting. The reporting and furnishing of this account necessarily involves the disclosure of sensitive medical information, which I did not consent to. This appears to be a violation of the Health Insurance Portability and Accountability Act ( HIPAA ) and its privacy protections regarding unauthorized disclosure of medical information. 
Second, this account has been reported to the consumer reporting agencies without proper validation and without a permissible purpose, in violation of the Fair Credit Reporting Act ( 15 U.S.C. 1681 et seq. ). I dispute the accuracy, ownership, and legal authority of this collection account. The furnisher has failed to demonstrate that it has the legal right to report this alleged debt or that the information being reported is complete and accurate.
Additionally, medical collections are subject to heightened accuracy and privacy requirements. The continued reporting of this account is causing ongoing harm to my credit profile and financial well-being.
I am requesting that the CFPB require Aargon Agency, Inc to : Immediately delete this medical collection account from all consumer reporting agencies Cease any further reporting or disclosure of my medical information Provide written confirmation that this account has been permanently removed If this matter is not resolved promptly, I reserve all rights to pursue further complaints with the Office for Civil Rights ( OCR ) for HIPAA violations and any additional legal remedies available to me.</t>
  </si>
  <si>
    <t>Both collection and reporting language appear, but the requested remedy is deletion of an inaccurately reported collection tradeline; Credit reporting.</t>
  </si>
  <si>
    <t>I have provided Experian on SIX occasions with an FTC identity theft report and various police reports to Experian regarding XXXX XXXX, XXXX XXXX and the identity theft on my report. I have also reported and provided a letter from XXXX XXXX regarding the fraudulent account. Experian is ruining my credit score by refusing to remove the fraudulent items. 
The items from XXXX XXXX and XXXX XXXX are the result of identity theft and are ruining my credit score. Experian had been sued for this in the past. 
DELETE the items!</t>
  </si>
  <si>
    <t>Request for Removal of Past Due Payments for XXXX XXXX Due to XXXX Illness I have a couple Past due payments reported on my credit report during the Covid National Emergency ( pandemic declared between XX/XX/XXXX and XX/XX/XXXX ). 
I understand that I'm protected under the CARES Act. 
I formally requested their consideration for the removal of late payments reported on my Credit Report ( for all three Bureaus ) due to an unforeseen and serious medical situation related to XXXX. 
In XX/XX/XXXX, I became seriously ill with XXXX, which required months of XXXX  the summer of XXXX and winter XXXX and left me unable to manage my financial responsibilities during that time. Due to my illness, I was XXXX  and XXXX  unable to handle the usual tasks of paying bills and managing my mortgage payments. These past due payments were reported for the months of XX/XX/XXXX, XX/XX/XXXX, XX/XX/XXXX AND XX/XX/XXXX, XX/XX/XXXX, XX/XX/XXXX for which I was granted a forbearance plan until I was able to get back on track and continue paying my bills on time ever since.</t>
  </si>
  <si>
    <t>XXXX &amp; Equifax are reporting an erroneous collection on my credit report for XXXX XXXX XXXX - XXXX - I never received one notice regarding this debt, it just showed up on my credit report. This was paid</t>
  </si>
  <si>
    <t>On XXXX. My aged debt was Reported as delinquent. ( Amount XXXX ) Date my old debt was reported was XX/XX/year&gt;. Statute of Limitation has passed. It seems the new collection agency re-aged my account, which means they changed the date that the account first went delinquent, making the debt appear newer. This is a violation of the Fair Credit Reporting Act.</t>
  </si>
  <si>
    <t>Both collection and reporting language appear, but the specific complaint is that the collection agency re-aged and reported the debt inaccurately; Credit reporting.</t>
  </si>
  <si>
    <t>I am submitting this complaint regarding Credit Karmas refusal to update my legal name on their platform, despite my repeated efforts and full compliance with their documentation requirements. 
I legally changed my name and have already updated it with the XXXX XXXX XXXX and on my government-issued ID. I contacted Credit Karma to request that they update my account to reflect my correct legal name. As requested, I submitted a copy of my government-issued ID and Social Security card , both showing my current legal name. 
Despite providing this documentation, Credit Karma has refused to update my account. Their support team has not given a clear or valid reason for this refusal, nor have they offered any alternative solution. This failure to update my name has caused confusion and concern, especially as Credit Karma continues to pull and report credit information under a name that is no longer legally mine. 
I am concerned that this may impact the accuracy of my credit file and hinder my ability to manage my financial accounts effectively. I believe I have made every reasonable effort to work with Credit Karma, and I am now requesting assistance from the CFPB to resolve this matter. 
I am seeking that Credit Karma update my name in their system in accordance with the legal documentation I have provided and that they ensure all associated credit reporting is accurate.</t>
  </si>
  <si>
    <t>XXXX servicer granted us a forbearance because of our toddlers large medical needs and recent XXXX  which also happened to be during covid 19 ( my husband was out of work as well ) and said they would put the amount to the back of the loan. Over the past week, they have been trying to demand the forbearance in full because they say the loan carrier inspire home loans said its either we pay full or nothing. I have supporting documentation that states we can resume our regular payment on XX/XX/2023. They accepted a payment in XXXX {$1400.00}. Over the month, we have been trying to set up a REPAYMENT plan now that our forbearance has ended. Since they will not place it on the back of the loan like they initially told us they would. We can pay our standard {$1500.00} a month plus an extra {$1000.00} a month for a total of {$2500.00} for 12 months. And have seen no results.. inspire home loans said they need to speak to their legal team about repayment plans, ( they are trying to say {$4000.00} if they get the ok from their legal team a month even thought we only owe XXXX in forbearance and it should be able to repay over a 12 month span ) and they cant risk putting the forbearance to the back of the loan even though our house is worth double the amount owed. Inspire home loans even had the nerve to transfer us to the foreclosure department, where they told us we werent in foreclosure.. &amp; then a servicing manager asked for the forbearance documentation that I have because she couldnt access it herself because she said loan care was hanging up on her.. its been an absolute nightmare. 
I even offered to pay them {$4000.00} on XX/XX/XXXX. They would not take it.</t>
  </si>
  <si>
    <t>on XX/XX/2022 i sent a letter in regards to inaccurate items on my credit reports. its been more than 70 days and i have not receive any validation of debt or results of the investigation. Section 611 ( a ) states that a failure to investigate the items within 30 days gives a reason to delete the items immediately from my credit report. It has been more than 70 days so they should be deleted promptly. I demand these accounts be deleted immediately or i will file for litigation due to all stress caused to me.</t>
  </si>
  <si>
    <t>I attempted to purchase XXXX XXXX tickets through PayPal using the Pay Later / XXXX financing option. When I completed the purchase, the PayPal screen clearly showed the transaction as DECLINED. Because it was declined, I reasonably assumed the purchase had failed. 
Instead of honoring the financing plan I selected, PayPal attempted to force the charge through by splitting the purchase into XXXX separate charges of approximately {$1200.00} each, all processed at the same moment. I never authorized XXXX separate charges. I authorized only XXXX financed transaction under the promotional XXXX plan. 
I did not receive any confirmation email, receipt, itinerary, or e-ticket from PayPal or XXXX XXXX. The airline later informed me that they sent the ticket information to an old and inactive email address unrelated to the email used for the PayPal transaction. Because the payment appeared as declined, I had no reason to expect any ticket or further action. 
Days later, my debit card was unexpectedly declined. When I checked my bank account, it was overdrawn by nearly {$5000.00} because PayPal had attempted to process the XXXX unauthorized charges. When I tried to dispute the issue in the PayPal app, the system would not allow me to file a claim until the charges cleared. After they cleared, I submitted the dispute, but PayPal denied all XXXX claims individually. 
PayPal is now attempting to collect almost {$5000.00} for charges I never authorized and for a service I never received. I am requesting CFPB assistance because PayPal failed to apply the financing option, processed multiple unauthorized transactions, caused a significant overdraft, denied my disputes, and is now threatening to send this to collections.</t>
  </si>
  <si>
    <t>PayPal Pay Later/financing is the substantive product; the payment/charge mechanics are incidental, so Consumer loan applies.</t>
  </si>
  <si>
    <t>On Thursday, XX/XX/year&gt; I recieved a new Citi XXXX XXXX credit card. I was going to use this to replace a XXXX XXXX card that I have had for a long time. I put the card on my XXXX to use XXXX XXXX. I used the card for a few days with no issue. Then on Sunday, XX/XX/year&gt; I tried to use my card with XXXX XXXX to make a charitable donation to the XXXX XXXX XXXX of over {$500.00} and it was declined. I appreciated the fraud control and called Citi on Sunday. Verified it was a legitimate purchase and was told to try again. I tried again with XXXX XXXX and it was again denied. At this point I just used my physical card and typed the number. This was frustrating as I set the card up through the Citi app. The next day, my wife tried to use the card at the XXXX XXXX and was denied. When I called again, I was told my card was on hold for review and that I wouldnt be able to use until I receive a letter in the mail that contains a code that I need to call back in with. While I can appreciate fraud controls to protect both Citi and myself, this seems to be overdone. I will likely close my account, and would have already, but was told I cant close the account until I have that letter!! Its unfortunate as I was looking forward to their rewards, but this is not worth the hassle. Ive been on the phone with Citi more in one week than I was with XXXX XXXX in the last 10 years.</t>
  </si>
  <si>
    <t>I had bought a TV from Walmart and the 3rd party company XXXX with my Capital One Bank Card. The thing is that I want to return the merchandise do to being the wrong TV. I contacted Walmart and Capital One to open dispute and return the item. Capital One told me to wait for XXXX XXXXs to contact me within 48 hours and that they was a case XXXX XXXX. That they were going to fix the issue. I have been emailing the 3rd because they never called or send me the label for the return. Now Capital One tells me that the case is close and all I am asking is for a refund and return TV. XXXX XXXX  told me that the case was close as well, they never called or emailed me back. Need to know if something can be done.</t>
  </si>
  <si>
    <t>Money was XXXX or XXXX from XXXX XX/XX/XXXXXXXX where I received my Direct Deposit Payroll, to XXXX XXXX XXXX XXXX XX/XX/XXXX 
The intent was to buy some shares of XXXX, since they are a Stock/Trading company. 
My deposit is not there. They can't find it. 
Initially I was given an availability date of XX/XX/XXXX then 2 days later it was changed to XX/XX/XXXX, which I clutched my pearls, and thought that was kinda a long time to hold one 's funds! : ( Why did the dates change twice, &amp; now my funds are " stuck '' somewhere, waiting to be processed!? 
Chime says the didn't receive the REJECTED funds back yet that XXXX admitted to rejecting. I talked to a Gentleman named XXXX at XXXX who explained this unfortunate latest update to me!</t>
  </si>
  <si>
    <t>Request for Update to Paid As Agreed Never Late ( PAANL ) Violation of 15 USC 1637b To Whom It May Concern : I am writing to formally request an update to my credit report regarding my account with : 1 ) XXXX XXXX XXXX XXXX XXXX to the provisions of the Truth in Lending Act, specifically 15 USC 1637b, a creditor may not treat a payment on a credit card account under an open-end consumer credit plan as late for any purpose unless the creditor has provided the required notice, as outlined in section 1637b.
Section 1637b of the Truth in Lending Act clearly states that a creditor must inform the consumer in writing, within a reasonable period, if a payment has not been made within the grace period. Specifically, if a payment is considered late, it must not be treated as such unless the creditor notifies the consumer at least 21 days prior to the due date. As of today, I have not received any such notice regarding the account referenced above, nor have I been notified of any payment being considered late.
In light of this, I am requesting that my account be updated to reflect the accurate status of " Paid As Agreed Never Late '' ( PAANL ) as no late payments were reported or properly documented. Since no notification of a late payment has been issued in compliance with the law, my account status should accurately reflect that it was paid on time and as agreed.
I request that you update my credit report accordingly and remove any negative reporting related to this account. I expect a response within 30 days, as required by the Fair Credit Reporting Act ( FCRA ), and would appreciate your prompt attention to this matter.
If you need any additional information or documentation to process my request, please do not hesitate to contact me. I appreciate your cooperation in ensuring that my credit report is accurate and complies with all applicable laws. 
Sincerely, XXXX XXXX</t>
  </si>
  <si>
    <t>I received an email that my account was closed at XXXXXXXX XXXX XXXX  on XX/XX/year&gt;, with no stated reason. Since this email, my account is restricted and I am unable to access {$3300.00} in my account.</t>
  </si>
  <si>
    <t>Account type is not specified; closest fit is Bank account or service because the complaint is account restriction and inability to access the balance.</t>
  </si>
  <si>
    <t>I am behind in my mortgage payments and have a foreclosure sale date scheduled on XX/XX/2016. I have applied for a loan modification with my mortgage company and they are saying they dont have enough time to finish the review and are going to take my home to sale. I need help in any way possible to get them to postpone the sale date. Please help!!!!!</t>
  </si>
  <si>
    <t>Hello, I got asked to create a song. They offered to pay me XXXX but sent XXXX on " Accident ''. 
I deposited the check into my wellsfargo account the XXXX of XX/XX/2021. 
The check cleared and was in my account, so I sent them 4 payments of XXXX, only to have that check bounce 3 days later. I wouldnt sent them any money if the check wouldn't of cleared. I didn't get any notifications that it could be a fake check. I didn't have any pendings over the check it was all in my account. 
The account the contacted me was through XXXX, this is the account. XXXX The email address the check came from is XXXX Hope this information helps!</t>
  </si>
  <si>
    <t>I paid in full, or so I thought, the balance of my student loan around 8 years ago. I do not have bank records from that long ago but the student loan provider XXXX has now reported late payments supposedly due to them after the Covid forebearance, as being 120 days late which has now tanked my credit score. I have not given this loan any thought since I had thought it was paid in full years ago, and was now surprised to find out it supposedly had a small balance due of around {$110.00}. When I found out I immediately paid it off in full, but the supposed late payments will be on my credit reports for 7 years. I called XXXX to discuss it and they said there is nothing they can do. I also called the Studentloan.gov number directly 2 times with no success. But yet they can not give me any sort of statement which indicates where the small amount comes from or how it was calculated. I find that very questionable. How can they report my loan as delinquent, but can't back up the balance due? That is all I am asking.</t>
  </si>
  <si>
    <t>XX/XX/XXXX at XXXXXXXX XXXX mountain time I get 2 notices from Bank of America via email about my email and phone number violating XXXX XXXX. I then contact BOA on their mobile app and the operator simply says on chat that I have to update and re-enroll. It fails, and I have screenshots of this transaction. She then looks into it further about my discrepancy in email and directs me to call their fraud line. The fraud line finally picks up and the woman explaining then says " a quoted deposit '' based termination. Basically BOA is going to terminate my relationship for what, I really don't know. Part of this has me thinking there are 2 main factors. 1 ) I had someone steal my identity and attempt multiple account openings, to which XXXX notified me first. 2 ) I made a complaint on XXXX at a recent XXXX, FL location about XXXX. I suspect this is retaliation. However, I really can't be sure because no one is willing to give me the details. On the same call, the woman explaining the account terminations of my checking AND savings states that I should call back in 24 hours and will no longer have access. In addition, she iterated the line is being recorded and she's aware that I will be making a complaint. I've read on multiple online postings of similar random BOA errors and close outs. I'm uploading the police and FTC reports of proof of identity fraud issues. BOA has also been notified at XXXX with a running thread notifying them of these issues.</t>
  </si>
  <si>
    <t>I have been submitting documents to the bank and they keep adding to the required list but not allowing more time to complete the documents list and pass audit. They gave me time to submit documents, but every time I call the need additional documents. There is a foreclosure sale date of XXXX and they keep adding to the list of documents, letters of explanation while my short sale seller documents and hardship have been validated previously. I feel they are fast tracking me to foreclosure. When I call they tell me that even though I am being review for foreclosure alternatives, they will continue with the foreclosure sale date. I consider this dual tracking and extremely unfair business practices and in violation of CFBP rules. Is there some way to ecourage them to continue with the short sale offer review. They have been sitting on the offer since, XXXX, almost a month. Please help.</t>
  </si>
  <si>
    <t>My identity was compromise since XXXX I was out of the country for five years upon my return. I find out all my identity was compromised. Multiple account was opened under my name on my credit report. I reported this matter to the law-enforcement agency I received the report from the police department. I also submit a complaint to XXXX FBI I was advised by the quality report advisor from XXXX to generate and submit my report through FTC. Your time is highly appreciated. Please help me with my concern. My credit is all I have. Thank you for your time.</t>
  </si>
  <si>
    <t>XX/XX/XXXX Subject : Dispute of Inaccurate Late Payment Reporting on Account # XXXX Dear CFPB, I am writing to formally dispute inaccurate information being reported on my credit file regarding the XXXX account ( # XXXX ). According to the Fair Credit Reporting Act ( FCRA ), you are required to ensure the accuracy of the information reported and to investigate disputes promptly. 
Upon reviewing my credit report, I found that the payment status for this account continues to indicate " 30 days late, '' which is inaccurate. I have consistently made on-time payments for this account, and I have attached relevant documentation to support this claim. 
Here are the details of the account : High Balance : {$2000.00} Date of Last Activity : XX/XX/XXXX Date Reported : XX/XX/XXXX Date Opened : XX/XX/XXXX Balance Owed : {$0.00} Closed Date : Not Available Account Rating : Paid Account Status : Closed Payment Status : Late 30 Days Creditor Remarks : Consumer disputes- reinvestigation in progress ; Closed or paid account/zero balance Two-Year Payment History : Indicates " OK '' for all months but continues to show a " 30 Days Late '' status inaccurately. 
I request that Equifax provide a detailed description of the investigation procedure conducted to verify this account 's payment history, as required under 15 USC 1681i ( a ) ( 7 ). Furthermore, I request documented evidence supporting the late payment claim, including specific dates, amounts, and correspondence that validate this reporting. 
In the absence of valid evidence, I demand that the payment status for this account be updated to " Paid As Agreed Never Late '' immediately. Failure to comply with this request within the 30-day timeframe outlined in the FCRA will constitute a violation of my rights as a consumer.
Thank you for your prompt attention to this matter. I look forward to your response and resolution. 
Sincerely, XXXX XXXX XXXX XXXX</t>
  </si>
  <si>
    <t>On XX/XX/XXXX/XX/XX/XXXX my debit card was stolen while on a work trip in XXXX, New York In addition it was my contention that the thief was able to get my PIN. That thief, used the card throughout the XXXX XXXX XXXX area, charging up almost {$3000.00} dollars at 30 various different drug stores over a 3 hour period, making cash back purchases in small increments on average of {$50.00} dollars. I reported the fraudulent charges to the bank as soon as I became aware, as did my wife who is joint on the account. I filed a police report in XXXX XXXX XXXX and XXXX XXXX, CA, my place of residence. Upon review the bank rescinded the credits to my account and stated their judgement was based upon inconsistencies with my and my wife 's statements. As i mentioned to the back, I was not aware of how it was stolen, but merely giving them suggestions on who might have been the perpetrator. The bank investigators did n't not put forward a good faith effort to follow up on this claim, nor did the bank hold up their fiduciary responsibility to protect my debit card from this clear fraud while it was happening. Furthermore, while I still have an active police investigation, the bank has already rendered judgement. This matter will be resolved in civil court if I ca n't get the protection of the Bank in regards to my FDIC protected money. I wish to report the bank, the claims department and its management for gross negligence in this matter and I hope the CFPB can help me gain protection from a banks disregard for its primarily responsibility to protect my money</t>
  </si>
  <si>
    <t>A loan under my name was takin out in XXXX XXXX XXXX I have filed a complaint against LVNV Funding LLC. before, and I have not gotten any help. I just sent them another message today, and asked to speak with a manger or higher up. I also wrote them a message in the past asking to talk to a manger or higher up. That never happened. My credit score continues to decrease because of this fraudulent loan, and LVNV Funding LLC does not help resolve the matter. I do not want my score to decrease again. I have also contacted other law enforcement agencies regarding this, and hope they can help me.</t>
  </si>
  <si>
    <t>The complaint concerns a fraudulent loan taken out in the consumer's name; the credit-score impact is secondary, so Consumer loan applies.</t>
  </si>
  <si>
    <t>Whom It May Concern, I am writing regarding the above-referenced account listed as a charge-off on my credit report. I am requesting full validation of this account. Please provide the following : A copy of the original signed agreement Full payment history Documentation showing I am legally responsible for this debt Proof of your authority to collect on this account Until proper validation is provided, I request that all reporting of this account to the credit bureaus cease. If you are unable to validate the account, please notify the credit bureaus to remove this account from my credit report. Sincerely, XXXX XXXX</t>
  </si>
  <si>
    <t>I used Affirm to finance a purchase from XXXX ( XXXX # XXXX ) for a desk totaling {$130.00}. The item was delayed beyond the XXXX shipping window, and a documented chat transcript from XXXX customer support ( Ticket ID : XXXX ) shows that I was explicitly promised a 40 % refund after delivery to compensate for the delay. I followed instructions, waited until delivery ( XX/XX/XXXX ), then contacted XXXX to fulfill the promised refund. 
XXXX later reversed their position, claiming they couldnt honor the refund due to the item being sold by a third-partyeven though it was XXXX own agent who made the compensation promise. I have full screenshots proving this. 
I filed a dispute with Affirm and submitted all evidence. Despite this, Affirm ruled in favor of XXXX without properly addressing the documented proof or providing any explanation of the merchants policies or their own decision-making process. I requested details on the decision and refund policies, but did not receive a proper response. 
This feels like a failure by Affirm to protect consumers from unfair treatment by large merchants. Affirm continues to expect payment for a product that I would not have financed had I known the refund promise would be revoked after the fact. I want Affirm to either : A. Hold XXXX accountable for the promised refund, or B. Cancel my remaining payment obligation since this was a broken agreement initiated by the seller 's platform.</t>
  </si>
  <si>
    <t>I purchased an American Express Bluebird card at the local XXXX. I loaded it with {$500.00} cash. 
After reviewing the disclosure document enclosed with the temporary card, I requested a refund of my money. I never used, activied or signed the card. I called XXXX days after the purchase. 
I was told when I called to check status of refund, the refund was processed on the XXXX of XXXX. I requested the refund on the XXXX. Fine, it was processed late, but I waited, going to the post office and calling the XXXX day, when the check was not received. I was put on hold and left on hold not once but twice, lied to by he first clerk who actually told me they do not process refunds, which I replied that the disclosure states quite clearly that you DO. He then put me on hold, in the ruse to get a manager, and never came back. I have been going back and forth with this since, I still have not received my refund, and the delay caused me financial setback, and stress, XXXX, pain and lack of sleep. I am at my witts end with this I can not tell you how this has caused me so much XXXX and distrust. I can not comprehend what is going on and why. Please help me get me cash refunded and the financial loss I suffered as well.</t>
  </si>
  <si>
    <t>Bluebird is a prepaid stored-value card/service rather than a credit card; the seven-category set has no prepaid category, so Bank account or service is the closest fit.</t>
  </si>
  <si>
    <t>Bank of America representatives have put my home into foreclosure. I was told that I had the option to do a deed in lieu of foreclosure but never received the paperwork. I 've put my home up for sale and have received a contract from a buyer at a price that is higher than what I owe on my mortgage balance. Bank of America representatives have not responded.</t>
  </si>
  <si>
    <t>I have been paying town taxes out of pocket since XXXX. Never a late payment. XXXX XXXX will confirm this. I accidentally wrote my tax check wrong for XXXX cents off which triggered a delinquent payment. Roundpoint mortgage since forced escrow on my mortgage driving my payment up XXXX per month over XXXX cents. They will not work with me! I have an XXXX credit score and this was purely a mistake. Please help me. The mortgage company is a complete scam. Thank you</t>
  </si>
  <si>
    <t>My husband and I open a personal loan through OneMain. The company was originally named SpringLeaf. The loan was paid in full XXXX XXXX, 2017. I tried to obtain an letter from the company stating this loan was paid in full ; so I could provide it to the three credit bureaus ; but, was unsuccessful. Attached will be a summary printout from the local office and a statement printout providing {$0.00} balance. Even though these statements are acceptable to me ; there are not acceptable for the three credit reporting bureaus. Would you please assist me with this matter? Thank you</t>
  </si>
  <si>
    <t>The product is explicitly a personal loan; the request for payoff documentation is incidental to the loan itself, so Consumer loan applies.</t>
  </si>
  <si>
    <t>On XX/XX/2021 I completed a refinance on my home and had the original loan paid off by the new lender. XXXX XXXX XXXX, and the servicer, Dovenmuehle Mortgage , Inc. erroneously withdrew a mortgage payment for the amount of {$1500.00} on XX/XX/2021, despite no longer holding the note on the loan. When contacted on the XXXX of XXXX, 2021, I was informed it could take up to two weeks to return the money that was taken from my account in error. This is completely unacceptable and both institutions deserve sanctions.</t>
  </si>
  <si>
    <t>I noticed that MRS BPO LLC reported a {$320.00} collection account on my XXXX  credit report, listing XXXX  as the original creditor. I do not owe this debt and have no record of having any account with XXXX.
I contacted MRS BPO LLC to request validation of this debt, including proof of the original account, contract, and billing statements, but they did not provide any documentation to show that the debt is mine. Despite my request, the company continues to report this information to XXXX, which is negatively affecting my credit. 
I am requesting that the CFPB review this matter and require the company to either provide full verification of the debt or remove the inaccurate collection account from my credit report.</t>
  </si>
  <si>
    <t>Navient ( formerly XXXX ) has been harassing me DAILY, calling my work/office phone numbers ( in-office and work mobile ), as well as sending me faxes at work and calling my personal mobile phone number throughout the day. They are jeopardizing my job with this incessant harassment. I have sent them a cease and desist letter, as well, and I have copies of this.</t>
  </si>
  <si>
    <t>The company currently servicing our mortgage reached out in XX/XX/XXXX to refinance our mortgage due to the low rates, so we agreed. We locked in a rate of 3.125 % on XX/XX/XXXX with NewRez and supplied them with all the upfront requested documentation and eSigned all necessary forms. It is now XX/XX/XXXX and we still have NOT closed on the refinanced loan and they are asking for more documents, and my husband to correct the figures multiple times on the documents provided by NewRez for the refinance ( incorrect escrow figure, property taxes, etc. ). We constantly reached out to the company throughout the multitude of months since starting the process in XXXX and were told various stories about how the loan would be underwriting soon once one more bit of information was verified -- and the information to be verified never was accurate to begin with for our loan. Or, there would be no response and no escalation even after we demanded status updates with set deadline dates for such information. We have lost out on four months of saving {$300.00} a month that the refinance should have secured had it closed at the end of XX/XX/XXXX as it should have closed, and we now can not refinance with an alternate company at the same rate as rates have now increased, and also, the loan office does not get paid until this loan closes so there are multiple parties effected by this company 's gross incompetence.</t>
  </si>
  <si>
    <t>SUBJECT : DENIAL OF {$400.00} PROMOTIONAL BONUS ACCOUNT OPENING ERROR EXECUTIVE SUMMARY : I am filing this complaint because Wells Fargo has failed to honor a {$400.00} checking account opening promotional bonus ( Offer Code : XXXX ) despite my full compliance with the promotional terms. This is a direct result of a processing error by branch staff and a subsequent refusal to provide a resolution. CHRONOLOGY OF EVENTS : XX/XX/year&gt; : I opened an Everyday Checking account in person at the XXXX XXXX XXXX ( XXXX, TN ). I presented the {$400.00} offer code ( XXXX ) that I received via e-mail ( attached for your reference ) to Personal Banker XXXX XXXX XXXX. She helped me open my account, verbally confirmed the code was applied, and that I was " all set. '' QUALIFICATION : I fulfilled the requirement of depositing $ XXXX in qualifying direct deposits within 90 days. I have attached proof of meeting the requirements ( Qualifying direct deposits ). INITIAL DISPUTES : After the bonus failed to post, I opened XXXX support tickets : XXXX and XXXX. Customer service stated the bonus was denied because the banker failed to enter the code during account opening and directed me back to the branch. XX/XX/year&gt; : I returned to the branch to meet XXXX XXXX. She verbally acknowdged that she remebered me and she remembered applying the offer code to my account thus confirming the validity of my claim. However, she claimed that she was busy helping other customers at the time and she instructed me to email her the details to " sort it out. '' PROFESSIONAL NEGLIGENCE : I sent her that e-mail with all the details ( attached here for your reference ) on XX/XX/XXXX and followed up again on XX/XX/year&gt;. I also attempted to contact her official phone number but never actually reached her. XXXX XXXX has ceased all communication and failed to provide the promised resolution.</t>
  </si>
  <si>
    <t>On XX/XX/year&gt; at XXXX I received {$3000.00} to my XXXX account. I then transferred the {$3000.00} to my cashapp account. At XXXX my personal debit card was unlinked from my cashapp account. Also at XXXX I received emails from cashapp about a withdrawal of {$2500.00} to a XXXX XXXX card from XXXX XXXX XXXX . At XXXX I received another notification of an attempt to withdraw {$470.00} to a different XXXX XXXX XXXX XXXX XXXX but Im assuming cashapp blocked that withdrawal because they noticed my account was hacked and it wasnt me withdrawing the money. The withdrawals happened within basically 1 minute with the hacker being able to link and unlink the two different debit cards almost instantly. Its nothing I could do to stop it. It happened that fast. Its almost like the hacker was waiting for me to transfer the money to my cashapp account. Cashapp has a serious security issue that the government needs to monitor. I need my money back immediately. Cashapp is currently investigating they say Ill have a response in 2 business days. I hope for the best.</t>
  </si>
  <si>
    <t>Can you tell me if I need to write a letter to my bank to request the PMI payments no longer be required? I passed the Scheduled XXXX % LTV Date on XXXX/XXXX/2014, however they are still billing me for PMI premiums in my mortgage payments.</t>
  </si>
  <si>
    <t>I financed a car through Toyota financial services, a bad mistake. They make you jump through hoops just to get approved. I usually go through my credit union and will do so from now on. Unfortunately I was T-boned in an intersection and my vehicle was declared a total loss on XX/XX/21 with the check being sent out that week. It is now XX/XX/21 and they STILL haven't updated their records to show that there is a total loss payoff. Yes, they still took my payment for the month it was due. They refunded me the payment for the next month but they have yet to show the car was paid off. I reached out to them 3 times about this. When I am late on my payment I am penalized with a late fee right? Toyota Financial Services should have the same burden of obligation to ensure their processes are working and not taking customers money for non existing loans!</t>
  </si>
  <si>
    <t>Our mortgage company 's loss/draft department are solely to blame for our issue. Not the insurance company or the VA. We had a catastrophic loss of our home and we have cooperated with everything they have asked, but they do not give us the funds we need and have paid out of pocket and taken from our retirement savings, at a heavy tax levied against us, and our personal savings. We had difficulty getting a contractor to over see the work. Our last contractor did nothing for 8 months. Nothing. So we became our own general contractor and got our permits and hired the sub contractors. I am attaching some of the emails we have written. So far we have asked for reimbursement from two contractors for the final completion of the exterior of the house and the excavation company that worked to remove the old burned house and dig/fill utility trenches, and prepare the ground for radon barrier and concrete pour. They did reimburse at least once for our underground plumbing work and the builder completing the outer shell of the house. We have been waiting for 4 weeks for them to pay the final bill to that company.</t>
  </si>
  <si>
    <t>flag_note (if forced/hard fit/general comments)</t>
  </si>
  <si>
    <t>Fintech app subscription/savings; no clean fit, closest is account closure/charges</t>
  </si>
  <si>
    <t>Auto lease late payment - reporting edge rule</t>
  </si>
  <si>
    <t>Mentions FDCPA validation, but main ask is deleting tradeline from report (edge rule)</t>
  </si>
  <si>
    <t>Frozen bank account is a result of garnishment - collection process is the subject</t>
  </si>
  <si>
    <t>Chime malware/card compromise; could read as MT but account access is the core</t>
  </si>
  <si>
    <t>Account closure with open disputes; dispute product unclear</t>
  </si>
  <si>
    <t>Product not stated; inferred card from billing dispute + Fair Credit Billing reference</t>
  </si>
  <si>
    <t>Loan type not stated; 'servicer' + Wells Fargo suggests mortgage - forced</t>
  </si>
  <si>
    <t>Extended car warranty, not a financial product - forced fit</t>
  </si>
  <si>
    <t>Bank account denial is the trigger, but complaint is post-bankruptcy reporting</t>
  </si>
  <si>
    <t>Checks between banks involved, but account lock is the main complaint</t>
  </si>
  <si>
    <t>Store card origin; thin narrative, collector letter is the trigger</t>
  </si>
  <si>
    <t>Collection tradeline + validation request; ask is FCRA deletion (edge rule)</t>
  </si>
  <si>
    <t>Lease disposition fee led to late mark; complaint is removing it</t>
  </si>
  <si>
    <t>Company is a collector, but complaint is about FCRA dispute investigations</t>
  </si>
  <si>
    <t>1. Balance transfers are a credit card feature. "It has affected how they processed my payments on balance transfers" is the strongest clue. You move debt onto a credit card; loans and bank accounts don't do balance transfers.
2. "Rate Sale offer with a promotional rate through XX/XX/22." Time-limited promotional APR offers are typical of card issuers. The customer is disputing an APR/promotional rate change, which is listed in the Protocol's Credit card scope ("APR issues").
3. The complaint is about how the issuer treats the account. The person is disputing enrolment in an offer they didn't agree to, and how payments were then allocated. On cards, payments above the minimum go to the highest-APR balance first, so a surprise promo rate can change which balance a payment pays down. That matches "affected how they processed my payments."
4. Nothing points elsewhere. There's no credit report, collector, mortgage, loan, deposit account or transfer app involved, so no edge-case rule sends it to another category.</t>
  </si>
  <si>
    <t>Narrative is CFPB boilerplate text, no actual grievance - forced fit</t>
  </si>
  <si>
    <t>The complaint is mostly about the calls: daily harassment of the borrower and their parents for six months over back payments. That's collection conduct</t>
  </si>
  <si>
    <t>Fraudulent student loan on report; collector mentioned but reporting is the subject</t>
  </si>
  <si>
    <t>Early Warning Services (specialty CRA) report</t>
  </si>
  <si>
    <t>Debt collection because nothing has been reported to a credit bureau yet. The credit damage is only a threat.</t>
  </si>
  <si>
    <t>Wire triggered it, but account freeze is the complaint</t>
  </si>
  <si>
    <t>Unauthorized transfer from stolen phone; MT plausible</t>
  </si>
  <si>
    <t>Mixed: derogatory tradeline + no validation notice; statutory collection-process complaint dominates, CR plausible</t>
  </si>
  <si>
    <t>Fragment of PayPal transaction record; little context</t>
  </si>
  <si>
    <t>Yard Card via TD - revolving store card; CL plausible</t>
  </si>
  <si>
    <t>Chime account; narrator also mentions 'credit card'</t>
  </si>
  <si>
    <t>Auto loan charge-off; ask is about back-dated reporting. CL plausible</t>
  </si>
  <si>
    <t>Crypto exchange (Coinbase) account lock - no category fits, forced</t>
  </si>
  <si>
    <t>PayPal account limitation (business use)</t>
  </si>
  <si>
    <t xml:space="preserve">Loan type not stated - forced
</t>
  </si>
  <si>
    <t>Payment via WF + unnamed service (likely P2P) for undelivered goods; BA plausible</t>
  </si>
  <si>
    <t>Citibank; 'loan department' mentioned but minimum payment/late fees indicate card</t>
  </si>
  <si>
    <t>Mortgage reported late - reporting edge rule; also payment-change notice issue</t>
  </si>
  <si>
    <t>Carvana took down payment before loan approval; BA plausible</t>
  </si>
  <si>
    <t>ebt/collection not explicit; inferred from third-party contacts + hourly calls about account. Product unknown.</t>
  </si>
  <si>
    <t>Original account type not stated; complaint is debt buyer pursuing an unrecognised account + no dispute path. CC only if original product assumed.</t>
  </si>
  <si>
    <t>Generic Cash App/Reg E template</t>
  </si>
  <si>
    <t>Both checking and credit card closed</t>
  </si>
  <si>
    <t>The dispute is about how the bank handled the account. The writer wants to close the account</t>
  </si>
  <si>
    <t>Creditor refuses payment, but ask is CRA dispute/removal</t>
  </si>
  <si>
    <t>The payments are small. The writer mentions payments of $85 and $100. Those amounts fit a small personal loan, not a mortgage.</t>
  </si>
  <si>
    <t>PMI is a mortgage product</t>
  </si>
  <si>
    <t>Joint Consolidation Loan Separation Act allows married or formerly married borrowers to split old joint federal student loans</t>
  </si>
  <si>
    <t>Kia &gt; auto</t>
  </si>
  <si>
    <t>Cash App card stolen; provisional credit issue. MT plausible</t>
  </si>
  <si>
    <t>Financed coaching plan - not a typical loan product - force fit</t>
  </si>
  <si>
    <t>It would be Bank account only if the complaint were about the account itself, for example the bank taking money it wasn't authorised to take, or refusing to reverse a debit</t>
  </si>
  <si>
    <t>Also FDCPA validation; ask is deletion from report</t>
  </si>
  <si>
    <t>The loan type is stated. "Sallie Mae, the lending service that issued my private loans for school.</t>
  </si>
  <si>
    <t>Chime debit card unauthorized charges</t>
  </si>
  <si>
    <t>Card charges + transfer; institution/product vague</t>
  </si>
  <si>
    <t>Product inferred (Barclays overcharge + merchant)</t>
  </si>
  <si>
    <t>Military currency exchange rate - forced fit</t>
  </si>
  <si>
    <t>No loan exists; payday lender debited checking fraudulently. CL per loan-via-account rule; BA plausible.</t>
  </si>
  <si>
    <t>Medical collection; HIPAA angle but ask is deletion from reports</t>
  </si>
  <si>
    <t>Isint main point the debt being reported as delinquent</t>
  </si>
  <si>
    <t>Credit Karma name update - not a CRA strictly</t>
  </si>
  <si>
    <t>PayPal Pay Later financing + unauthorized split charges; CL plausible</t>
  </si>
  <si>
    <t>Transfer to brokerage lost in transit</t>
  </si>
  <si>
    <t>Institution redacted; account closure/funds restricted</t>
  </si>
  <si>
    <t>BNPL (Affirm) - closest is consumer loan</t>
  </si>
  <si>
    <t>Prepaid card refund - no exact category</t>
  </si>
  <si>
    <t>Collection tradeline + validation; ask is removal from report</t>
  </si>
  <si>
    <t>Cash App account hacked withdrawals</t>
  </si>
  <si>
    <t>Inter-annotator agreement (computed on independent labels, before any discussion)</t>
  </si>
  <si>
    <t>All values are live formulas over the Labeler 1 and Labeler 2 tabs, which hold the untouched independent labels. Final labels are recorded in the Resolution Log (disagreements) and the Consistency Check (agreed rows that changed), and assembled in the Golden Set tab.</t>
  </si>
  <si>
    <t>Tickets labelled (N)</t>
  </si>
  <si>
    <t>Rows where labels match</t>
  </si>
  <si>
    <t>Disagreements</t>
  </si>
  <si>
    <t>Observed agreement (Po)</t>
  </si>
  <si>
    <t>Chance agreement (Pe)</t>
  </si>
  <si>
    <t>Cohen's kappa</t>
  </si>
  <si>
    <t>Kappa 95% CI (bootstrap)</t>
  </si>
  <si>
    <t>0.810 - 0.918</t>
  </si>
  <si>
    <t>Hardcoded: computed in Python, 2000 bootstrap resamples of the 180 rows, seed 0 (sklearn cohen_kappa_score). Recompute if labels change.</t>
  </si>
  <si>
    <t>Interpretation</t>
  </si>
  <si>
    <t>Per-category counts</t>
  </si>
  <si>
    <t>Labeler 1 count</t>
  </si>
  <si>
    <t>Labeler 2 count</t>
  </si>
  <si>
    <t>Both chose it</t>
  </si>
  <si>
    <t>Specific agreement</t>
  </si>
  <si>
    <t>Specific agreement = 2 x both / (L1 count + L2 count). Low values show which categories the protocol defines least clearly.</t>
  </si>
  <si>
    <t>Confusion between labellers (rows = Labeler 1, columns = Labeler 2)</t>
  </si>
  <si>
    <t>L1 \ L2</t>
  </si>
  <si>
    <t>CR</t>
  </si>
  <si>
    <t>DC</t>
  </si>
  <si>
    <t>MO</t>
  </si>
  <si>
    <t>CC</t>
  </si>
  <si>
    <t>BA</t>
  </si>
  <si>
    <t>CL</t>
  </si>
  <si>
    <t>MT</t>
  </si>
  <si>
    <t>Abbreviations: CR Credit reporting, DC Debt collection, MO Mortgage, CC Credit card, BA Bank account or service, CL Consumer loan, MT Money transfer or service.</t>
  </si>
  <si>
    <t>Disagreement resolution log</t>
  </si>
  <si>
    <t>One row per disagreement between the two labellers (20, all resolved). Columns C-F pull the labels and notes live from the Labeler tabs; G-J record the final label, the reason, whether the disagreement exposed a protocol gap, and the revision that governs it.</t>
  </si>
  <si>
    <t>Group</t>
  </si>
  <si>
    <t>Labeler 1 note</t>
  </si>
  <si>
    <t>Labeler 2 note</t>
  </si>
  <si>
    <t>Why (one or two sentences)</t>
  </si>
  <si>
    <t>Protocol gap?</t>
  </si>
  <si>
    <t>Protocol rev #</t>
  </si>
  <si>
    <t>G1 Unauthorized or disputed money movement (BA vs MT)</t>
  </si>
  <si>
    <t>Chime account compromised via malware and the card data used for transactions. Chime is a bank deposit account (online bank) -&gt; Bank account (rev 3 product test; same outcome as rev 2).</t>
  </si>
  <si>
    <t>2, 3</t>
  </si>
  <si>
    <t>Checks sent from the consumer's own Chase account to their own Marcus savings account never deposited. Both are bank deposit accounts; deposit/check problem -&gt; Bank account (rev 3).</t>
  </si>
  <si>
    <t>Thief used a stolen phone to transfer an IRS check payment out of "my account". No provider or payment app is named; the text describes a deposit account, so treated as a bank deposit account -&gt; Bank account (rev 3). Provider unknown.</t>
  </si>
  <si>
    <t>Unauthorized transaction on the consumer's Chime account; Chime denied the dispute. Chime is a bank deposit account -&gt; Bank account (rev 3).</t>
  </si>
  <si>
    <t>Stolen Cash App card; complaint is Cash App not giving a provisional credit on the Cash App account. Under rev 3 the product is the Cash App payment app, not a bank deposit account (consistent with 8578).</t>
  </si>
  <si>
    <t>Unauthorized charges on a Chime debit card. Chime is a bank deposit account and this is its debit card -&gt; Bank account (rev 3).</t>
  </si>
  <si>
    <t>Unauthorized card purchases, withdrawals, and a transfer made by someone else. No provider or payment app is named; the text describes a card-linked deposit account -&gt; Bank account (rev 3). Provider unknown.</t>
  </si>
  <si>
    <t>Fake check deposited into the consumer's Wells Fargo account cleared, then bounced after they had sent payments on. Complaint is the bank letting it clear without warning: check/deposit problem on a bank account -&gt; Bank account (rev 3). How the payments were sent is redacted.</t>
  </si>
  <si>
    <t>Stolen debit card used at 30 drug stores; reported to the bank, joint account. Debit card on a bank deposit account -&gt; Bank account (rev 3).</t>
  </si>
  <si>
    <t>G2 Account locks, freezes and closures (BA vs MT)</t>
  </si>
  <si>
    <t>Coinbase is a crypto platform: Money transfer product under rev 3, regardless of the issue being an account lock.</t>
  </si>
  <si>
    <t>G3 Collection account on credit report (CR vs DC)</t>
  </si>
  <si>
    <t>FORCE-FIT, no customer grievance. The text is general guidance: it contains no account of events, names no company being complained about, and makes no request. Compared against the CFPB Ask CFPB page "When can a debt collector report my debt to a credit reporting company?" (consumerfinance.gov/ask-cfpb/when-can-a-debt-collector-report-to-a-credit-reporting-agency-en-2111/; last reviewed 29 Jan 2024, page last modified 13 Mar 2024; saved copy checked 25 Sep 2026): the opening question is word for word the page title; of the text's 13 sentences, 2 match the page word for word, 9 closely resemble its wording, and 2 (on the Debt Collection Rule's 2021 effective date, and a "learn more about the Debt Collection Rule" line) do not appear anywhere on the page. All the obligations the text describes fall on debt collectors (steps they must take before reporting a debt), so Debt collection is the closest fit; reporting is only the action being regulated. Raw label is Debt collection. Labeler 1 chose Credit reporting, also defensible.</t>
  </si>
  <si>
    <t>No</t>
  </si>
  <si>
    <t>n/a (fits-none rule)</t>
  </si>
  <si>
    <t>Asks for removal from report AND that collection cease, but the text says Resurgent never contacted or attempted to collect; the only action taken was reporting. Removal is the request with events behind it (rev 4). Consistent with 8988.</t>
  </si>
  <si>
    <t>Main content is an itemized validation demand (signed agreement, payment history, proof of liability, authority to collect); stopping/removing reporting is conditional on validation failing (rev 4). Same structure as 8382.</t>
  </si>
  <si>
    <t>G4 Loan type not named</t>
  </si>
  <si>
    <t>Only "the loan", "servicer" and Wells Fargo; no loan type named and no mortgage-specific term. Default to Consumer loan (rev 6). Labeler 2's original "servicer + Wells Fargo suggests mortgage" reasoning does not hold: servicer is not mortgage-specific.</t>
  </si>
  <si>
    <t>Citibank offers both cards and loans, so the name does not settle it. The customer refers to the "loan department", a "principal balance" and an offer that the account "would be deferred"; the only card-like wording is "minimum payment", used loosely. Treated as a loan whose type is not named -&gt; Consumer loan (rev 6).</t>
  </si>
  <si>
    <t>G5 Store cards, buy-now-pay-later and prepaid cards</t>
  </si>
  <si>
    <t>Named as a card ("Yard card", "account number with yard card") that finances lawn-equipment purchases through TD Bank; complaint is a payment applied to the wrong account. Store-branded card -&gt; Credit card (rev 7), consistent with 8538. "Finances" makes Consumer loan plausible.</t>
  </si>
  <si>
    <t>Customer chose PayPal Pay Later financing, but it was never applied. Every event complained about is PayPal payment processing: a declined purchase split into separate charges on the debit card, an overdraft, disputes denied in the PayPal app, PayPal collecting about $5,000. Product complained about is the PayPal payment app -&gt; Money transfer (rev 3; rev 7 BNPL clause). Labeler 1's Consumer loan reading is defensible: Pay Later is what the customer selected.</t>
  </si>
  <si>
    <t>G6 Fraudulent or unrecognised accounts and charges</t>
  </si>
  <si>
    <t>CashNetUSA (a payday lender) charged $1,000 to the customer's checking account via their debit card; the customer never borrowed from or had an account with them, and the bank is investigating. No loan exists; the only account in the story is the checking account -&gt; Bank account (rev 3; rev 8). The payee being a payday lender does not set the category, as the drug stores did not in 8095. Labeler 1's Money transfer came from the v1 funds-movement rule, since replaced. Labeler 2's Consumer loan does not apply: no loan exists.</t>
  </si>
  <si>
    <t>"A loan under my name was takin out"; LVNV Funding "does not help resolve the matter"; no charge, payment or withdrawal is mentioned. The fraudulent loan is the harm and the credit score drop is its consequence; grievance is with the company holding the account -&gt; that product, Consumer loan (rev 8). Same shape as 8989. Credit reporting (Labeler 2) defensible from "I do not want my score to decrease again".</t>
  </si>
  <si>
    <t>Rows resolved</t>
  </si>
  <si>
    <t>Agreed rows to re-check once each group rule is decided</t>
  </si>
  <si>
    <t>Rows both labellers AGREED on, listed because a rule decided during reconciliation could affect them. "Yes" = the agreed label stands; "No" = it changed (new label in column E). Column G records why each row is on the list: Original list (built with the Resolution Log); Audit scan (revs 3-5) and Audit: loan-type heuristic flag (25 Sep 2026 audit, method in the Audit Log); First review (added during the audit); Rev 8 cascade check; G7 scan; G9 scan. Agreement is not the same as consistency.</t>
  </si>
  <si>
    <t>Agreed label</t>
  </si>
  <si>
    <t>Still consistent with rule?</t>
  </si>
  <si>
    <t>Final label (if changed)</t>
  </si>
  <si>
    <t>Source (why this row is on the list)</t>
  </si>
  <si>
    <t>Rev 3: the product is a Marcus savings account (bank deposit account); the frozen withdrawal is a bank account problem.</t>
  </si>
  <si>
    <t>Original list</t>
  </si>
  <si>
    <t>Bank froze its own deposit accounts: Bank account under rev 3.</t>
  </si>
  <si>
    <t>Albert app subscription and in-app savings account closure: bank deposit product, Bank account.</t>
  </si>
  <si>
    <t>FORCE-FIT. American Express Bluebird card purchased at a (redacted) local location and loaded with $500 cash; the customer requested a refund of the loaded money (card never used, activated or signed) and has not received the refund check. A prepaid card is not credit, not a bank deposit account and not a transfer service, so no category fits. Force-fit to Bank account or service: the card holds the customer's own funds like an account, and the complaint is about getting those funds back. Raw label is Credit card; not used to decide. (rev 7)</t>
  </si>
  <si>
    <t>Original list (moved from G1/G2 to G5)</t>
  </si>
  <si>
    <t>Rev 3: hacked Cash App wallet is a Money transfer product; the rev 2 change to Bank account is reversed.</t>
  </si>
  <si>
    <t>PayPal account limitation: Money transfer product under rev 3.</t>
  </si>
  <si>
    <t>PayPal account block: Money transfer product under rev 3.</t>
  </si>
  <si>
    <t>Cash App deactivation: Money transfer product under rev 3.</t>
  </si>
  <si>
    <t>Coinbase used for the transfer: Money transfer product.</t>
  </si>
  <si>
    <t>Bank of America account termination: Bank account.</t>
  </si>
  <si>
    <t>FORCE-FIT. Funds sent to a stock trading company were rejected; Chime reports it has not received the returned funds. Brokerage is out of scope and the sending institution is redacted, so no in-scope product can be identified under rev 3. Force-fit to Money transfer (fits-none rule): the failed transfer is the substance of the complaint.</t>
  </si>
  <si>
    <t>Titled Validation of Debt Request; disputes the debt itself; deletion only if verification fails -&gt; Debt collection (rev 4).</t>
  </si>
  <si>
    <t>Main demand is deleting the collection entry from the report; validation is an either/or (rev 4). Consistent with 8663.</t>
  </si>
  <si>
    <t>Disputed with the bureaus, invokes FCRA, demands deletion -&gt; Credit reporting (rev 4).</t>
  </si>
  <si>
    <t>Asks for verification or removal of the report entry; grievance is continued reporting -&gt; Credit reporting (rev 4).</t>
  </si>
  <si>
    <t>Credit report dispute with bureaus, duplicate reporting, demands deletion -&gt; Credit reporting (rev 4).</t>
  </si>
  <si>
    <t>Grievance is the collectors conduct: allegedly simulating a court and attempting to seize property under the guise of foreclosure (FDCPA cited). No remedy requested. The text does not establish that anything illegal happened, but the label reflects what is complained about. Debt collection under rev 5 foreclosure rule; mortgage context acknowledged (raw label Mortgage).</t>
  </si>
  <si>
    <t>No loan type named, no mortgage-specific term (payments applied to interest first) -&gt; Consumer loan by the rev 6 default.</t>
  </si>
  <si>
    <t>Text names the lender and calls it a loan: "Upgrade is misallocating my loan payments" -&gt; Consumer loan.</t>
  </si>
  <si>
    <t>Affirm buy-now-pay-later financing; customer asks Affirm to cancel the remaining payment obligation. Complaint is about the financing -&gt; Consumer loan (rev 7).</t>
  </si>
  <si>
    <t>Westlake account opened fraudulently; demands removal from the credit file under the FCRA -&gt; Credit reporting (rev 8).</t>
  </si>
  <si>
    <t>Wells Fargo card the customer never opened; it appears on the credit report, but the grievance is Wells Fargo's fraud handling -&gt; Credit card (rev 8).</t>
  </si>
  <si>
    <t>G7 Paid-in-full letters</t>
  </si>
  <si>
    <t>FORCE-FIT, no customer grievance. The text is a paid-in-full confirmation letter addressed to Navy Federal Credit Union, written in the creditor's voice; it names no product ("my then account"), describes no problem and makes no request. The only action it mentions is notifying the credit reporting agencies "if applicable", so Credit reporting is the closest fit (fits-none rule). Unlike 8044, no product is named and no grievance with a company is stated.</t>
  </si>
  <si>
    <t>Original list (G7 pair from the first review)</t>
  </si>
  <si>
    <t>Personal loan through OneMain, paid in full; the customer cannot get a paid-in-full letter from the lender that the credit bureaus will accept. The bureaus are the purpose, but the grievance is with the lender about its loan -&gt; Consumer loan ("fits two -&gt; classify by product" general rule). Same shape as 8554 (Mortgage servicer refusing a payoff receipt). No reporting error is claimed.</t>
  </si>
  <si>
    <t>Consumer sent money via a P2P service through Bank of America to a phone number (recipient "enrolled with" the service). Service name is redacted; identified from the description. Transfer service -&gt; Money transfer (rev 3).</t>
  </si>
  <si>
    <t>Audit scan (revs 3-5)</t>
  </si>
  <si>
    <t>Transfers made through a payment link and a P2P service from a Capital One account; dispute handling under Reg E. Service name is redacted; identified from the description. Consistent with 8649 -&gt; Money transfer (rev 3).</t>
  </si>
  <si>
    <t>G8 Two products closed at once</t>
  </si>
  <si>
    <t>Citibank closed both the checking account and the Citi credit card, citing "moving large amounts of money and suspected of hiding funds". Two products affected by one decision; the fits-two rule classifies by the product that is the substance. The stated reason concerns money movement, which happens in the deposit account, and the requests (an explanation of the closure, removal of internal flags, restoring "my relationship with Citibank") cover the whole relationship -&gt; Bank account. The customer also wants to reapply for the card, which makes Credit card plausible. Resolved under the existing general rule; no protocol change.</t>
  </si>
  <si>
    <t>Audit scan (revs 3-5); also raised in the first review</t>
  </si>
  <si>
    <t>G9 Product type not stated</t>
  </si>
  <si>
    <t>Wells Fargo; the customer disputed an item never received and Wells Fargo reversed the credit after siding with the merchant. The text does not say whether a credit or debit card was used, and Wells Fargo offers both. Merchant-purchase dispute with no product stated -&gt; Credit card (rev 9 default). A debit card cannot be ruled out; raw label (Bank account) not used to decide.</t>
  </si>
  <si>
    <t>First review (added during the audit)</t>
  </si>
  <si>
    <t>Fraudulent student loan found on the credit report; identity theft steps taken; no complaint about how any company handled it -&gt; Credit reporting (rev 8).</t>
  </si>
  <si>
    <t>Fraudulent account still on the Experian report after the other bureaus removed it; asks Experian for removal -&gt; Credit reporting (rev 8).</t>
  </si>
  <si>
    <t>Credit card the customer never applied for; fraud reported to the issuer -&gt; Credit card (rev 8).</t>
  </si>
  <si>
    <t>PNC opened accounts and sent a debit card in the customer's name; grievance is PNC's fraud handling -&gt; Bank account (rev 8).</t>
  </si>
  <si>
    <t>Marcus accounts opened in the customer's name, then another opened during the investigation; grievance is Marcus's verification -&gt; Bank account (rev 8).</t>
  </si>
  <si>
    <t>Product named: Navient "DL Consolidated" (Direct Loan) student loans -&gt; Consumer loan.</t>
  </si>
  <si>
    <t>Audit: loan-type heuristic flag</t>
  </si>
  <si>
    <t>Product named: Mohela student loan (Joint Consolidation, PSLF) -&gt; Consumer loan.</t>
  </si>
  <si>
    <t>Product named: Kia Motor Finance auto loan -&gt; Consumer loan.</t>
  </si>
  <si>
    <t>Product named: Mohela student loan; payment debited from bank account but not applied to the loan -&gt; Consumer loan.</t>
  </si>
  <si>
    <t>Product named: Sallie Mae private student loans ("private loans for school") -&gt; Consumer loan.</t>
  </si>
  <si>
    <t>After losing wallet and phone, the customer found wire transfers totalling $570,000 "made from my account without my knowledge or authorization"; bank investigating. Impostor used the customer's account: account takeover, same as 8444 and 8335. The wire is the method, not the product -&gt; Bank account (rev 8; rev 3 amended to "wires the customer sends").</t>
  </si>
  <si>
    <t>Rev 8 cascade check</t>
  </si>
  <si>
    <t>Student loan the customer believed was paid off years ago; provider reported 120-day late payments on a ~$110 balance, which "tanked my credit score" and will stay on the reports for 7 years; balance now paid. The closing question ("How can they report my loan as delinquent, but can't back up the balance due?") challenges the basis of the reporting; the only remaining harm is the late marks on the report -&gt; Credit reporting (rev 4: substantiation is the tool, the report is the grievance). The only explicit request is documentation of the balance, which makes Consumer loan plausible; unlike 8044, a reporting error is claimed.</t>
  </si>
  <si>
    <t>G7 scan</t>
  </si>
  <si>
    <t>Barclays; unresolved overcharge on "my account" involving a merchant and a provider investigation; the customer wants to close the account. Product not stated; the labeller notes inferred it from what Barclays is known for, which is outside knowledge and not used. Merchant-charge dispute -&gt; Credit card (rev 9 default); a debit card or bank account cannot be ruled out from the text.</t>
  </si>
  <si>
    <t>G9 scan</t>
  </si>
  <si>
    <t>TV bought "with my Capital One Bank Card"; dispute and return case closed without a refund. "Bank Card" does not say credit or debit, and Capital One offers both. Merchant-purchase dispute -&gt; Credit card (rev 9 default); a debit card cannot be ruled out.</t>
  </si>
  <si>
    <t>Old National Bank closed "my account" while about $11,000 in disputes were still open; the customer wants the account reopened and a written explanation. Account type not stated; the complaint is a bank's action on the account itself -&gt; Bank account (rev 9 default).</t>
  </si>
  <si>
    <t>General Rules</t>
  </si>
  <si>
    <t xml:space="preserve">180 tickets from rows 8000-8999, labelled independently by two team members (Hakim &amp; Glenn) and reconciled under the labelling protocol . Every final label is a live formula: a Resolution Log decision if the labellers disagreed; otherwise the Consistency Check label if the agreed label was changed; otherwise the agreed label. </t>
  </si>
  <si>
    <t>Golden test set: 180 tickets from rows 8000-8999, stratified proportional to raw category mix. Labelled independently by 2 team members (Hakim &amp; Glenn), no conferring, then reconciled.</t>
  </si>
  <si>
    <t>ICT3113 Assignment 1 -- Team 8 Labelling Protocol (V10)</t>
  </si>
  <si>
    <t>Resolve every disagreement by discussion, record each resolution, and update the protocol where a disagreement revealed a gap in 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</si>
</sst>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15" x14ac:knownFonts="1">
    <font>
      <sz val="11"/>
      <color theme="1"/>
      <name val="Calibri"/>
      <charset val="1"/>
    </font>
    <font>
      <b/>
      <sz val="13"/>
      <name val="Arial"/>
      <charset val="1"/>
    </font>
    <font>
      <i/>
      <sz val="11"/>
      <name val="Arial"/>
      <charset val="1"/>
    </font>
    <font>
      <b/>
      <sz val="11"/>
      <name val="Arial"/>
      <charset val="1"/>
    </font>
    <font>
      <sz val="11"/>
      <name val="Arial"/>
      <charset val="1"/>
    </font>
    <font>
      <i/>
      <sz val="11"/>
      <color theme="1"/>
      <name val="Arial"/>
      <charset val="1"/>
    </font>
    <font>
      <b/>
      <sz val="11"/>
      <color theme="1"/>
      <name val="Arial"/>
      <charset val="1"/>
    </font>
    <font>
      <sz val="11"/>
      <color rgb="FF000000"/>
      <name val="Calibri"/>
      <charset val="1"/>
    </font>
    <font>
      <sz val="11"/>
      <color theme="1"/>
      <name val="Arial"/>
      <family val="2"/>
    </font>
    <font>
      <sz val="11"/>
      <name val="Arial"/>
      <family val="2"/>
    </font>
    <font>
      <b/>
      <sz val="14"/>
      <color theme="1"/>
      <name val="Arial"/>
      <family val="2"/>
    </font>
    <font>
      <i/>
      <sz val="11"/>
      <color theme="1"/>
      <name val="Arial"/>
      <family val="2"/>
    </font>
    <font>
      <i/>
      <sz val="11"/>
      <name val="Arial"/>
      <family val="2"/>
    </font>
    <font>
      <b/>
      <sz val="11"/>
      <name val="Arial"/>
      <family val="2"/>
    </font>
    <font>
      <b/>
      <sz val="11"/>
      <color theme="1"/>
      <name val="Arial"/>
      <family val="2"/>
    </font>
  </fonts>
  <fills count="7">
    <fill>
      <patternFill patternType="none"/>
    </fill>
    <fill>
      <patternFill patternType="gray125"/>
    </fill>
    <fill>
      <patternFill patternType="solid">
        <fgColor rgb="FFFFFF00"/>
        <bgColor rgb="FFFFFF00"/>
      </patternFill>
    </fill>
    <fill>
      <patternFill patternType="solid">
        <fgColor theme="0" tint="-4.9989318521683403E-2"/>
        <bgColor indexed="64"/>
      </patternFill>
    </fill>
    <fill>
      <patternFill patternType="solid">
        <fgColor theme="0" tint="-4.9989318521683403E-2"/>
        <bgColor rgb="FFCCFFFF"/>
      </patternFill>
    </fill>
    <fill>
      <patternFill patternType="solid">
        <fgColor theme="0"/>
        <bgColor indexed="64"/>
      </patternFill>
    </fill>
    <fill>
      <patternFill patternType="solid">
        <fgColor theme="0"/>
        <bgColor rgb="FFFFFFFF"/>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66">
    <xf numFmtId="0" fontId="0" fillId="0" borderId="0" xfId="0"/>
    <xf numFmtId="0" fontId="2" fillId="0" borderId="0" xfId="0" applyFont="1" applyAlignment="1">
      <alignment vertical="top" wrapText="1"/>
    </xf>
    <xf numFmtId="0" fontId="1" fillId="0" borderId="0" xfId="0" applyFont="1"/>
    <xf numFmtId="0" fontId="4" fillId="0" borderId="0" xfId="0" applyFont="1"/>
    <xf numFmtId="0" fontId="3" fillId="0" borderId="0" xfId="0" applyFont="1"/>
    <xf numFmtId="164" fontId="4" fillId="0" borderId="0" xfId="0" applyNumberFormat="1" applyFont="1"/>
    <xf numFmtId="0" fontId="6" fillId="4" borderId="1" xfId="0" applyFont="1" applyFill="1" applyBorder="1"/>
    <xf numFmtId="0" fontId="6" fillId="0" borderId="1" xfId="0" applyFont="1" applyBorder="1"/>
    <xf numFmtId="0" fontId="0" fillId="0" borderId="1" xfId="0" applyBorder="1" applyAlignment="1">
      <alignment vertical="top" wrapText="1"/>
    </xf>
    <xf numFmtId="0" fontId="4" fillId="0" borderId="1" xfId="0" applyFont="1" applyBorder="1" applyAlignment="1">
      <alignment vertical="top" wrapText="1"/>
    </xf>
    <xf numFmtId="0" fontId="6" fillId="4" borderId="1" xfId="0" applyFont="1" applyFill="1" applyBorder="1" applyAlignment="1">
      <alignment horizontal="left"/>
    </xf>
    <xf numFmtId="0" fontId="6" fillId="0" borderId="1" xfId="0" applyFont="1" applyBorder="1" applyAlignment="1">
      <alignment horizontal="left" vertical="center"/>
    </xf>
    <xf numFmtId="0" fontId="3" fillId="0" borderId="1" xfId="0" applyFont="1" applyBorder="1" applyAlignment="1">
      <alignment vertical="top" wrapText="1"/>
    </xf>
    <xf numFmtId="0" fontId="10" fillId="0" borderId="0" xfId="0" applyFont="1"/>
    <xf numFmtId="0" fontId="4" fillId="0" borderId="1" xfId="0" applyFont="1" applyBorder="1"/>
    <xf numFmtId="0" fontId="3" fillId="4" borderId="1" xfId="0" applyFont="1" applyFill="1" applyBorder="1" applyAlignment="1">
      <alignment vertical="top" wrapText="1"/>
    </xf>
    <xf numFmtId="0" fontId="13" fillId="0" borderId="1" xfId="0" applyFont="1" applyBorder="1"/>
    <xf numFmtId="0" fontId="3" fillId="4" borderId="1" xfId="0" applyFont="1" applyFill="1" applyBorder="1"/>
    <xf numFmtId="0" fontId="12" fillId="0" borderId="0" xfId="0" applyFont="1"/>
    <xf numFmtId="0" fontId="0" fillId="0" borderId="1" xfId="0" applyBorder="1"/>
    <xf numFmtId="0" fontId="6" fillId="4" borderId="1" xfId="0" applyFont="1" applyFill="1" applyBorder="1" applyAlignment="1">
      <alignment wrapText="1"/>
    </xf>
    <xf numFmtId="0" fontId="0" fillId="0" borderId="0" xfId="0" applyAlignment="1">
      <alignment wrapText="1"/>
    </xf>
    <xf numFmtId="0" fontId="14" fillId="4" borderId="1" xfId="0" applyFont="1" applyFill="1" applyBorder="1" applyAlignment="1">
      <alignment wrapText="1"/>
    </xf>
    <xf numFmtId="0" fontId="3" fillId="0" borderId="1" xfId="0" applyFont="1" applyBorder="1"/>
    <xf numFmtId="2" fontId="4" fillId="0" borderId="1" xfId="0" applyNumberFormat="1" applyFont="1" applyBorder="1"/>
    <xf numFmtId="0" fontId="2" fillId="0" borderId="1" xfId="0" applyFont="1" applyBorder="1"/>
    <xf numFmtId="0" fontId="3" fillId="3" borderId="1" xfId="0" applyFont="1" applyFill="1" applyBorder="1"/>
    <xf numFmtId="0" fontId="4" fillId="2" borderId="1" xfId="0" applyFont="1" applyFill="1" applyBorder="1" applyAlignment="1">
      <alignment vertical="top" wrapText="1"/>
    </xf>
    <xf numFmtId="0" fontId="4" fillId="2" borderId="1" xfId="0" applyFont="1" applyFill="1" applyBorder="1" applyAlignment="1">
      <alignment horizontal="left" vertical="top" wrapText="1"/>
    </xf>
    <xf numFmtId="0" fontId="4" fillId="0" borderId="1" xfId="0" applyFont="1" applyBorder="1" applyAlignment="1">
      <alignment vertical="center"/>
    </xf>
    <xf numFmtId="0" fontId="4" fillId="0" borderId="1" xfId="0" applyFont="1" applyBorder="1" applyAlignment="1">
      <alignment vertical="center" wrapText="1"/>
    </xf>
    <xf numFmtId="0" fontId="4" fillId="2" borderId="1" xfId="0" applyFont="1" applyFill="1" applyBorder="1" applyAlignment="1">
      <alignment vertical="center" wrapText="1"/>
    </xf>
    <xf numFmtId="0" fontId="0" fillId="0" borderId="0" xfId="0" applyAlignment="1">
      <alignment vertical="center"/>
    </xf>
    <xf numFmtId="0" fontId="4" fillId="2" borderId="1" xfId="0" applyFont="1" applyFill="1" applyBorder="1" applyAlignment="1">
      <alignment vertical="center"/>
    </xf>
    <xf numFmtId="0" fontId="0" fillId="2" borderId="1" xfId="0" applyFill="1" applyBorder="1" applyAlignment="1">
      <alignment vertical="center"/>
    </xf>
    <xf numFmtId="0" fontId="12" fillId="0" borderId="0" xfId="0" applyFont="1" applyAlignment="1">
      <alignment vertical="top" wrapText="1"/>
    </xf>
    <xf numFmtId="0" fontId="2" fillId="0" borderId="0" xfId="0" applyFont="1" applyAlignment="1">
      <alignment vertical="top" wrapText="1"/>
    </xf>
    <xf numFmtId="0" fontId="4" fillId="0" borderId="1" xfId="0" applyFont="1" applyBorder="1" applyAlignment="1">
      <alignment vertical="top" wrapText="1"/>
    </xf>
    <xf numFmtId="0" fontId="6" fillId="3" borderId="1" xfId="0" applyFont="1" applyFill="1" applyBorder="1" applyAlignment="1">
      <alignment horizontal="center"/>
    </xf>
    <xf numFmtId="0" fontId="8" fillId="0" borderId="1" xfId="0" applyFont="1" applyBorder="1" applyAlignment="1">
      <alignment horizontal="left" vertical="top" wrapText="1"/>
    </xf>
    <xf numFmtId="0" fontId="9" fillId="0" borderId="1" xfId="0" applyFont="1" applyBorder="1" applyAlignment="1">
      <alignment horizontal="left" vertical="top" wrapText="1"/>
    </xf>
    <xf numFmtId="0" fontId="6" fillId="3" borderId="1" xfId="0" applyFont="1" applyFill="1" applyBorder="1" applyAlignment="1">
      <alignment horizontal="left"/>
    </xf>
    <xf numFmtId="0" fontId="11" fillId="0" borderId="0" xfId="0" applyFont="1" applyAlignment="1">
      <alignment vertical="top" wrapText="1"/>
    </xf>
    <xf numFmtId="0" fontId="5" fillId="0" borderId="0" xfId="0" applyFont="1" applyAlignment="1">
      <alignment vertical="top" wrapText="1"/>
    </xf>
    <xf numFmtId="0" fontId="9" fillId="0" borderId="1" xfId="0" applyFont="1" applyBorder="1" applyAlignment="1">
      <alignment horizontal="center"/>
    </xf>
    <xf numFmtId="0" fontId="4" fillId="0" borderId="1" xfId="0" applyFont="1" applyBorder="1" applyAlignment="1">
      <alignment horizontal="center"/>
    </xf>
    <xf numFmtId="0" fontId="2" fillId="0" borderId="2" xfId="0" applyFont="1" applyBorder="1" applyAlignment="1">
      <alignment horizontal="left" vertical="top" wrapText="1"/>
    </xf>
    <xf numFmtId="0" fontId="2" fillId="0" borderId="0" xfId="0" applyFont="1" applyAlignment="1">
      <alignment horizontal="left" vertical="top" wrapText="1"/>
    </xf>
    <xf numFmtId="0" fontId="3" fillId="3" borderId="1" xfId="0" applyFont="1" applyFill="1" applyBorder="1" applyAlignment="1">
      <alignment horizontal="center"/>
    </xf>
    <xf numFmtId="0" fontId="2" fillId="0" borderId="3" xfId="0" applyFont="1" applyBorder="1" applyAlignment="1">
      <alignment horizontal="left"/>
    </xf>
    <xf numFmtId="0" fontId="2" fillId="0" borderId="4" xfId="0" applyFont="1" applyBorder="1" applyAlignment="1">
      <alignment horizontal="left"/>
    </xf>
    <xf numFmtId="0" fontId="2" fillId="0" borderId="5" xfId="0" applyFont="1" applyBorder="1" applyAlignment="1">
      <alignment horizontal="left"/>
    </xf>
    <xf numFmtId="165" fontId="4" fillId="0" borderId="1" xfId="0" applyNumberFormat="1" applyFont="1" applyBorder="1" applyAlignment="1">
      <alignment horizontal="center"/>
    </xf>
    <xf numFmtId="1" fontId="4" fillId="0" borderId="1" xfId="0" applyNumberFormat="1" applyFont="1" applyBorder="1" applyAlignment="1">
      <alignment horizontal="center"/>
    </xf>
    <xf numFmtId="164" fontId="4" fillId="0" borderId="1" xfId="0" applyNumberFormat="1" applyFont="1" applyBorder="1" applyAlignment="1">
      <alignment horizontal="center"/>
    </xf>
    <xf numFmtId="0" fontId="2" fillId="0" borderId="0" xfId="0" applyFont="1" applyAlignment="1">
      <alignment horizontal="center" vertical="top" wrapText="1"/>
    </xf>
    <xf numFmtId="0" fontId="0" fillId="5" borderId="1" xfId="0" applyFill="1" applyBorder="1"/>
    <xf numFmtId="0" fontId="0" fillId="5" borderId="1" xfId="0" applyFill="1" applyBorder="1" applyAlignment="1">
      <alignment vertical="top" wrapText="1"/>
    </xf>
    <xf numFmtId="0" fontId="7" fillId="5" borderId="1" xfId="0" applyFont="1" applyFill="1" applyBorder="1"/>
    <xf numFmtId="0" fontId="7" fillId="5" borderId="1" xfId="0" applyFont="1" applyFill="1" applyBorder="1" applyAlignment="1">
      <alignment wrapText="1"/>
    </xf>
    <xf numFmtId="0" fontId="0" fillId="6" borderId="1" xfId="0" applyFill="1" applyBorder="1"/>
    <xf numFmtId="0" fontId="0" fillId="6" borderId="1" xfId="0" applyFill="1" applyBorder="1" applyAlignment="1">
      <alignment vertical="top" wrapText="1"/>
    </xf>
    <xf numFmtId="0" fontId="7" fillId="6" borderId="1" xfId="0" applyFont="1" applyFill="1" applyBorder="1"/>
    <xf numFmtId="0" fontId="7" fillId="6" borderId="1" xfId="0" applyFont="1" applyFill="1" applyBorder="1" applyAlignment="1">
      <alignment wrapText="1"/>
    </xf>
    <xf numFmtId="0" fontId="0" fillId="5" borderId="1" xfId="0" applyFill="1" applyBorder="1" applyAlignment="1">
      <alignment wrapText="1"/>
    </xf>
    <xf numFmtId="0" fontId="0" fillId="6" borderId="1" xfId="0" applyFill="1" applyBorder="1" applyAlignment="1">
      <alignment wrapText="1"/>
    </xf>
  </cellXfs>
  <cellStyles count="1">
    <cellStyle name="Normal" xfId="0" builtinId="0"/>
  </cellStyles>
  <dxfs count="1">
    <dxf>
      <fill>
        <patternFill>
          <bgColor theme="5" tint="0.79998168889431442"/>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04"/>
  <sheetViews>
    <sheetView showGridLines="0" zoomScale="85" zoomScaleNormal="85" workbookViewId="0">
      <pane ySplit="4" topLeftCell="A5" activePane="bottomLeft" state="frozen"/>
      <selection pane="bottomLeft" activeCell="D189" sqref="D189"/>
    </sheetView>
  </sheetViews>
  <sheetFormatPr defaultColWidth="8.7109375" defaultRowHeight="15" x14ac:dyDescent="0.25"/>
  <cols>
    <col min="1" max="1" width="9.28515625" customWidth="1"/>
    <col min="2" max="3" width="24.85546875" bestFit="1" customWidth="1"/>
    <col min="4" max="4" width="27.7109375" bestFit="1" customWidth="1"/>
    <col min="5" max="5" width="42.5703125" customWidth="1"/>
    <col min="6" max="6" width="23" customWidth="1"/>
    <col min="7" max="7" width="23.28515625" customWidth="1"/>
  </cols>
  <sheetData>
    <row r="1" spans="1:7" ht="15.75" customHeight="1" x14ac:dyDescent="0.25">
      <c r="A1" s="2" t="s">
        <v>0</v>
      </c>
    </row>
    <row r="2" spans="1:7" ht="33.75" customHeight="1" x14ac:dyDescent="0.25">
      <c r="A2" s="35" t="s">
        <v>506</v>
      </c>
      <c r="B2" s="36"/>
      <c r="C2" s="36"/>
      <c r="D2" s="36"/>
      <c r="E2" s="36"/>
      <c r="F2" s="36"/>
      <c r="G2" s="36"/>
    </row>
    <row r="4" spans="1:7" ht="19.5" customHeight="1" x14ac:dyDescent="0.25">
      <c r="A4" s="15" t="s">
        <v>1</v>
      </c>
      <c r="B4" s="15" t="s">
        <v>2</v>
      </c>
      <c r="C4" s="15" t="s">
        <v>3</v>
      </c>
      <c r="D4" s="15" t="s">
        <v>4</v>
      </c>
      <c r="E4" s="15" t="s">
        <v>5</v>
      </c>
      <c r="F4" s="15" t="s">
        <v>6</v>
      </c>
      <c r="G4" s="15" t="s">
        <v>7</v>
      </c>
    </row>
    <row r="5" spans="1:7" ht="15" customHeight="1" x14ac:dyDescent="0.25">
      <c r="A5" s="14">
        <v>8022</v>
      </c>
      <c r="B5" s="14" t="str">
        <f>INDEX('Labeler 1'!$C$2:$C$181,MATCH(A5,'Labeler 1'!$A$2:$A$181,0))</f>
        <v>Credit reporting</v>
      </c>
      <c r="C5" s="14" t="str">
        <f>INDEX('Labeler 2'!$C$2:$C$181,MATCH(A5,'Labeler 2'!$A$2:$A$181,0))</f>
        <v>Credit reporting</v>
      </c>
      <c r="D5" s="16" t="str">
        <f>IF(COUNTIF('Resolution Log'!$A$5:$A$24,A5)&gt;0,INDEX('Resolution Log'!$G$5:$G$24,MATCH(A5,'Resolution Log'!$A$5:$A$24,0)),IF(COUNTIFS('Consistency Check'!$A$5:$A$99,A5,'Consistency Check'!$D$5:$D$99,"No")&gt;0,INDEX('Consistency Check'!$E$5:$E$99,MATCH(A5,'Consistency Check'!$A$5:$A$99,0)),C5))</f>
        <v>Credit reporting</v>
      </c>
      <c r="E5" s="14" t="str">
        <f>IF(COUNTIF('Resolution Log'!$A$5:$A$24,A5)&gt;0,"Resolution Log (disagreement)",IF(COUNTIFS('Consistency Check'!$A$5:$A$99,A5,'Consistency Check'!$D$5:$D$99,"No")&gt;0,"Consistency Check (agreed label changed)",IF(COUNTIF('Consistency Check'!$A$5:$A$99,A5)&gt;0,"Consistency Check (agreed label confirmed)","Agreed label")))</f>
        <v>Agreed label</v>
      </c>
      <c r="F5" s="14" t="str">
        <f t="shared" ref="F5:F36" si="0">IF(D5&lt;&gt;B5,"Yes","")</f>
        <v/>
      </c>
      <c r="G5" s="14" t="str">
        <f t="shared" ref="G5:G36" si="1">IF(D5&lt;&gt;C5,"Yes","")</f>
        <v/>
      </c>
    </row>
    <row r="6" spans="1:7" ht="15" customHeight="1" x14ac:dyDescent="0.25">
      <c r="A6" s="14">
        <v>8024</v>
      </c>
      <c r="B6" s="14" t="str">
        <f>INDEX('Labeler 1'!$C$2:$C$181,MATCH(A6,'Labeler 1'!$A$2:$A$181,0))</f>
        <v>Money transfer or service</v>
      </c>
      <c r="C6" s="14" t="str">
        <f>INDEX('Labeler 2'!$C$2:$C$181,MATCH(A6,'Labeler 2'!$A$2:$A$181,0))</f>
        <v>Money transfer or service</v>
      </c>
      <c r="D6" s="16" t="str">
        <f>IF(COUNTIF('Resolution Log'!$A$5:$A$24,A6)&gt;0,INDEX('Resolution Log'!$G$5:$G$24,MATCH(A6,'Resolution Log'!$A$5:$A$24,0)),IF(COUNTIFS('Consistency Check'!$A$5:$A$99,A6,'Consistency Check'!$D$5:$D$99,"No")&gt;0,INDEX('Consistency Check'!$E$5:$E$99,MATCH(A6,'Consistency Check'!$A$5:$A$99,0)),C6))</f>
        <v>Money transfer or service</v>
      </c>
      <c r="E6" s="14" t="str">
        <f>IF(COUNTIF('Resolution Log'!$A$5:$A$24,A6)&gt;0,"Resolution Log (disagreement)",IF(COUNTIFS('Consistency Check'!$A$5:$A$99,A6,'Consistency Check'!$D$5:$D$99,"No")&gt;0,"Consistency Check (agreed label changed)",IF(COUNTIF('Consistency Check'!$A$5:$A$99,A6)&gt;0,"Consistency Check (agreed label confirmed)","Agreed label")))</f>
        <v>Consistency Check (agreed label confirmed)</v>
      </c>
      <c r="F6" s="14" t="str">
        <f t="shared" si="0"/>
        <v/>
      </c>
      <c r="G6" s="14" t="str">
        <f t="shared" si="1"/>
        <v/>
      </c>
    </row>
    <row r="7" spans="1:7" ht="15" customHeight="1" x14ac:dyDescent="0.25">
      <c r="A7" s="14">
        <v>8033</v>
      </c>
      <c r="B7" s="14" t="str">
        <f>INDEX('Labeler 1'!$C$2:$C$181,MATCH(A7,'Labeler 1'!$A$2:$A$181,0))</f>
        <v>Credit card</v>
      </c>
      <c r="C7" s="14" t="str">
        <f>INDEX('Labeler 2'!$C$2:$C$181,MATCH(A7,'Labeler 2'!$A$2:$A$181,0))</f>
        <v>Credit card</v>
      </c>
      <c r="D7" s="16" t="str">
        <f>IF(COUNTIF('Resolution Log'!$A$5:$A$24,A7)&gt;0,INDEX('Resolution Log'!$G$5:$G$24,MATCH(A7,'Resolution Log'!$A$5:$A$24,0)),IF(COUNTIFS('Consistency Check'!$A$5:$A$99,A7,'Consistency Check'!$D$5:$D$99,"No")&gt;0,INDEX('Consistency Check'!$E$5:$E$99,MATCH(A7,'Consistency Check'!$A$5:$A$99,0)),C7))</f>
        <v>Credit card</v>
      </c>
      <c r="E7" s="14" t="str">
        <f>IF(COUNTIF('Resolution Log'!$A$5:$A$24,A7)&gt;0,"Resolution Log (disagreement)",IF(COUNTIFS('Consistency Check'!$A$5:$A$99,A7,'Consistency Check'!$D$5:$D$99,"No")&gt;0,"Consistency Check (agreed label changed)",IF(COUNTIF('Consistency Check'!$A$5:$A$99,A7)&gt;0,"Consistency Check (agreed label confirmed)","Agreed label")))</f>
        <v>Agreed label</v>
      </c>
      <c r="F7" s="14" t="str">
        <f t="shared" si="0"/>
        <v/>
      </c>
      <c r="G7" s="14" t="str">
        <f t="shared" si="1"/>
        <v/>
      </c>
    </row>
    <row r="8" spans="1:7" ht="15" customHeight="1" x14ac:dyDescent="0.25">
      <c r="A8" s="14">
        <v>8044</v>
      </c>
      <c r="B8" s="14" t="str">
        <f>INDEX('Labeler 1'!$C$2:$C$181,MATCH(A8,'Labeler 1'!$A$2:$A$181,0))</f>
        <v>Consumer loan</v>
      </c>
      <c r="C8" s="14" t="str">
        <f>INDEX('Labeler 2'!$C$2:$C$181,MATCH(A8,'Labeler 2'!$A$2:$A$181,0))</f>
        <v>Consumer loan</v>
      </c>
      <c r="D8" s="16" t="str">
        <f>IF(COUNTIF('Resolution Log'!$A$5:$A$24,A8)&gt;0,INDEX('Resolution Log'!$G$5:$G$24,MATCH(A8,'Resolution Log'!$A$5:$A$24,0)),IF(COUNTIFS('Consistency Check'!$A$5:$A$99,A8,'Consistency Check'!$D$5:$D$99,"No")&gt;0,INDEX('Consistency Check'!$E$5:$E$99,MATCH(A8,'Consistency Check'!$A$5:$A$99,0)),C8))</f>
        <v>Consumer loan</v>
      </c>
      <c r="E8" s="14" t="str">
        <f>IF(COUNTIF('Resolution Log'!$A$5:$A$24,A8)&gt;0,"Resolution Log (disagreement)",IF(COUNTIFS('Consistency Check'!$A$5:$A$99,A8,'Consistency Check'!$D$5:$D$99,"No")&gt;0,"Consistency Check (agreed label changed)",IF(COUNTIF('Consistency Check'!$A$5:$A$99,A8)&gt;0,"Consistency Check (agreed label confirmed)","Agreed label")))</f>
        <v>Consistency Check (agreed label confirmed)</v>
      </c>
      <c r="F8" s="14" t="str">
        <f t="shared" si="0"/>
        <v/>
      </c>
      <c r="G8" s="14" t="str">
        <f t="shared" si="1"/>
        <v/>
      </c>
    </row>
    <row r="9" spans="1:7" ht="15" customHeight="1" x14ac:dyDescent="0.25">
      <c r="A9" s="14">
        <v>8050</v>
      </c>
      <c r="B9" s="14" t="str">
        <f>INDEX('Labeler 1'!$C$2:$C$181,MATCH(A9,'Labeler 1'!$A$2:$A$181,0))</f>
        <v>Debt collection</v>
      </c>
      <c r="C9" s="14" t="str">
        <f>INDEX('Labeler 2'!$C$2:$C$181,MATCH(A9,'Labeler 2'!$A$2:$A$181,0))</f>
        <v>Debt collection</v>
      </c>
      <c r="D9" s="16" t="str">
        <f>IF(COUNTIF('Resolution Log'!$A$5:$A$24,A9)&gt;0,INDEX('Resolution Log'!$G$5:$G$24,MATCH(A9,'Resolution Log'!$A$5:$A$24,0)),IF(COUNTIFS('Consistency Check'!$A$5:$A$99,A9,'Consistency Check'!$D$5:$D$99,"No")&gt;0,INDEX('Consistency Check'!$E$5:$E$99,MATCH(A9,'Consistency Check'!$A$5:$A$99,0)),C9))</f>
        <v>Debt collection</v>
      </c>
      <c r="E9" s="14" t="str">
        <f>IF(COUNTIF('Resolution Log'!$A$5:$A$24,A9)&gt;0,"Resolution Log (disagreement)",IF(COUNTIFS('Consistency Check'!$A$5:$A$99,A9,'Consistency Check'!$D$5:$D$99,"No")&gt;0,"Consistency Check (agreed label changed)",IF(COUNTIF('Consistency Check'!$A$5:$A$99,A9)&gt;0,"Consistency Check (agreed label confirmed)","Agreed label")))</f>
        <v>Agreed label</v>
      </c>
      <c r="F9" s="14" t="str">
        <f t="shared" si="0"/>
        <v/>
      </c>
      <c r="G9" s="14" t="str">
        <f t="shared" si="1"/>
        <v/>
      </c>
    </row>
    <row r="10" spans="1:7" ht="15" customHeight="1" x14ac:dyDescent="0.25">
      <c r="A10" s="14">
        <v>8053</v>
      </c>
      <c r="B10" s="14" t="str">
        <f>INDEX('Labeler 1'!$C$2:$C$181,MATCH(A10,'Labeler 1'!$A$2:$A$181,0))</f>
        <v>Credit reporting</v>
      </c>
      <c r="C10" s="14" t="str">
        <f>INDEX('Labeler 2'!$C$2:$C$181,MATCH(A10,'Labeler 2'!$A$2:$A$181,0))</f>
        <v>Credit reporting</v>
      </c>
      <c r="D10" s="16" t="str">
        <f>IF(COUNTIF('Resolution Log'!$A$5:$A$24,A10)&gt;0,INDEX('Resolution Log'!$G$5:$G$24,MATCH(A10,'Resolution Log'!$A$5:$A$24,0)),IF(COUNTIFS('Consistency Check'!$A$5:$A$99,A10,'Consistency Check'!$D$5:$D$99,"No")&gt;0,INDEX('Consistency Check'!$E$5:$E$99,MATCH(A10,'Consistency Check'!$A$5:$A$99,0)),C10))</f>
        <v>Credit reporting</v>
      </c>
      <c r="E10" s="14" t="str">
        <f>IF(COUNTIF('Resolution Log'!$A$5:$A$24,A10)&gt;0,"Resolution Log (disagreement)",IF(COUNTIFS('Consistency Check'!$A$5:$A$99,A10,'Consistency Check'!$D$5:$D$99,"No")&gt;0,"Consistency Check (agreed label changed)",IF(COUNTIF('Consistency Check'!$A$5:$A$99,A10)&gt;0,"Consistency Check (agreed label confirmed)","Agreed label")))</f>
        <v>Agreed label</v>
      </c>
      <c r="F10" s="14" t="str">
        <f t="shared" si="0"/>
        <v/>
      </c>
      <c r="G10" s="14" t="str">
        <f t="shared" si="1"/>
        <v/>
      </c>
    </row>
    <row r="11" spans="1:7" ht="15" customHeight="1" x14ac:dyDescent="0.25">
      <c r="A11" s="14">
        <v>8060</v>
      </c>
      <c r="B11" s="14" t="str">
        <f>INDEX('Labeler 1'!$C$2:$C$181,MATCH(A11,'Labeler 1'!$A$2:$A$181,0))</f>
        <v>Credit reporting</v>
      </c>
      <c r="C11" s="14" t="str">
        <f>INDEX('Labeler 2'!$C$2:$C$181,MATCH(A11,'Labeler 2'!$A$2:$A$181,0))</f>
        <v>Credit reporting</v>
      </c>
      <c r="D11" s="16" t="str">
        <f>IF(COUNTIF('Resolution Log'!$A$5:$A$24,A11)&gt;0,INDEX('Resolution Log'!$G$5:$G$24,MATCH(A11,'Resolution Log'!$A$5:$A$24,0)),IF(COUNTIFS('Consistency Check'!$A$5:$A$99,A11,'Consistency Check'!$D$5:$D$99,"No")&gt;0,INDEX('Consistency Check'!$E$5:$E$99,MATCH(A11,'Consistency Check'!$A$5:$A$99,0)),C11))</f>
        <v>Credit reporting</v>
      </c>
      <c r="E11" s="14" t="str">
        <f>IF(COUNTIF('Resolution Log'!$A$5:$A$24,A11)&gt;0,"Resolution Log (disagreement)",IF(COUNTIFS('Consistency Check'!$A$5:$A$99,A11,'Consistency Check'!$D$5:$D$99,"No")&gt;0,"Consistency Check (agreed label changed)",IF(COUNTIF('Consistency Check'!$A$5:$A$99,A11)&gt;0,"Consistency Check (agreed label confirmed)","Agreed label")))</f>
        <v>Agreed label</v>
      </c>
      <c r="F11" s="14" t="str">
        <f t="shared" si="0"/>
        <v/>
      </c>
      <c r="G11" s="14" t="str">
        <f t="shared" si="1"/>
        <v/>
      </c>
    </row>
    <row r="12" spans="1:7" ht="15" customHeight="1" x14ac:dyDescent="0.25">
      <c r="A12" s="14">
        <v>8062</v>
      </c>
      <c r="B12" s="14" t="str">
        <f>INDEX('Labeler 1'!$C$2:$C$181,MATCH(A12,'Labeler 1'!$A$2:$A$181,0))</f>
        <v>Credit reporting</v>
      </c>
      <c r="C12" s="14" t="str">
        <f>INDEX('Labeler 2'!$C$2:$C$181,MATCH(A12,'Labeler 2'!$A$2:$A$181,0))</f>
        <v>Credit reporting</v>
      </c>
      <c r="D12" s="16" t="str">
        <f>IF(COUNTIF('Resolution Log'!$A$5:$A$24,A12)&gt;0,INDEX('Resolution Log'!$G$5:$G$24,MATCH(A12,'Resolution Log'!$A$5:$A$24,0)),IF(COUNTIFS('Consistency Check'!$A$5:$A$99,A12,'Consistency Check'!$D$5:$D$99,"No")&gt;0,INDEX('Consistency Check'!$E$5:$E$99,MATCH(A12,'Consistency Check'!$A$5:$A$99,0)),C12))</f>
        <v>Credit reporting</v>
      </c>
      <c r="E12" s="14" t="str">
        <f>IF(COUNTIF('Resolution Log'!$A$5:$A$24,A12)&gt;0,"Resolution Log (disagreement)",IF(COUNTIFS('Consistency Check'!$A$5:$A$99,A12,'Consistency Check'!$D$5:$D$99,"No")&gt;0,"Consistency Check (agreed label changed)",IF(COUNTIF('Consistency Check'!$A$5:$A$99,A12)&gt;0,"Consistency Check (agreed label confirmed)","Agreed label")))</f>
        <v>Agreed label</v>
      </c>
      <c r="F12" s="14" t="str">
        <f t="shared" si="0"/>
        <v/>
      </c>
      <c r="G12" s="14" t="str">
        <f t="shared" si="1"/>
        <v/>
      </c>
    </row>
    <row r="13" spans="1:7" ht="15" customHeight="1" x14ac:dyDescent="0.25">
      <c r="A13" s="14">
        <v>8071</v>
      </c>
      <c r="B13" s="14" t="str">
        <f>INDEX('Labeler 1'!$C$2:$C$181,MATCH(A13,'Labeler 1'!$A$2:$A$181,0))</f>
        <v>Credit reporting</v>
      </c>
      <c r="C13" s="14" t="str">
        <f>INDEX('Labeler 2'!$C$2:$C$181,MATCH(A13,'Labeler 2'!$A$2:$A$181,0))</f>
        <v>Credit reporting</v>
      </c>
      <c r="D13" s="16" t="str">
        <f>IF(COUNTIF('Resolution Log'!$A$5:$A$24,A13)&gt;0,INDEX('Resolution Log'!$G$5:$G$24,MATCH(A13,'Resolution Log'!$A$5:$A$24,0)),IF(COUNTIFS('Consistency Check'!$A$5:$A$99,A13,'Consistency Check'!$D$5:$D$99,"No")&gt;0,INDEX('Consistency Check'!$E$5:$E$99,MATCH(A13,'Consistency Check'!$A$5:$A$99,0)),C13))</f>
        <v>Credit reporting</v>
      </c>
      <c r="E13" s="14" t="str">
        <f>IF(COUNTIF('Resolution Log'!$A$5:$A$24,A13)&gt;0,"Resolution Log (disagreement)",IF(COUNTIFS('Consistency Check'!$A$5:$A$99,A13,'Consistency Check'!$D$5:$D$99,"No")&gt;0,"Consistency Check (agreed label changed)",IF(COUNTIF('Consistency Check'!$A$5:$A$99,A13)&gt;0,"Consistency Check (agreed label confirmed)","Agreed label")))</f>
        <v>Agreed label</v>
      </c>
      <c r="F13" s="14" t="str">
        <f t="shared" si="0"/>
        <v/>
      </c>
      <c r="G13" s="14" t="str">
        <f t="shared" si="1"/>
        <v/>
      </c>
    </row>
    <row r="14" spans="1:7" ht="15" customHeight="1" x14ac:dyDescent="0.25">
      <c r="A14" s="14">
        <v>8074</v>
      </c>
      <c r="B14" s="14" t="str">
        <f>INDEX('Labeler 1'!$C$2:$C$181,MATCH(A14,'Labeler 1'!$A$2:$A$181,0))</f>
        <v>Credit reporting</v>
      </c>
      <c r="C14" s="14" t="str">
        <f>INDEX('Labeler 2'!$C$2:$C$181,MATCH(A14,'Labeler 2'!$A$2:$A$181,0))</f>
        <v>Credit reporting</v>
      </c>
      <c r="D14" s="16" t="str">
        <f>IF(COUNTIF('Resolution Log'!$A$5:$A$24,A14)&gt;0,INDEX('Resolution Log'!$G$5:$G$24,MATCH(A14,'Resolution Log'!$A$5:$A$24,0)),IF(COUNTIFS('Consistency Check'!$A$5:$A$99,A14,'Consistency Check'!$D$5:$D$99,"No")&gt;0,INDEX('Consistency Check'!$E$5:$E$99,MATCH(A14,'Consistency Check'!$A$5:$A$99,0)),C14))</f>
        <v>Credit reporting</v>
      </c>
      <c r="E14" s="14" t="str">
        <f>IF(COUNTIF('Resolution Log'!$A$5:$A$24,A14)&gt;0,"Resolution Log (disagreement)",IF(COUNTIFS('Consistency Check'!$A$5:$A$99,A14,'Consistency Check'!$D$5:$D$99,"No")&gt;0,"Consistency Check (agreed label changed)",IF(COUNTIF('Consistency Check'!$A$5:$A$99,A14)&gt;0,"Consistency Check (agreed label confirmed)","Agreed label")))</f>
        <v>Agreed label</v>
      </c>
      <c r="F14" s="14" t="str">
        <f t="shared" si="0"/>
        <v/>
      </c>
      <c r="G14" s="14" t="str">
        <f t="shared" si="1"/>
        <v/>
      </c>
    </row>
    <row r="15" spans="1:7" ht="15" customHeight="1" x14ac:dyDescent="0.25">
      <c r="A15" s="14">
        <v>8094</v>
      </c>
      <c r="B15" s="14" t="str">
        <f>INDEX('Labeler 1'!$C$2:$C$181,MATCH(A15,'Labeler 1'!$A$2:$A$181,0))</f>
        <v>Money transfer or service</v>
      </c>
      <c r="C15" s="14" t="str">
        <f>INDEX('Labeler 2'!$C$2:$C$181,MATCH(A15,'Labeler 2'!$A$2:$A$181,0))</f>
        <v>Money transfer or service</v>
      </c>
      <c r="D15" s="16" t="str">
        <f>IF(COUNTIF('Resolution Log'!$A$5:$A$24,A15)&gt;0,INDEX('Resolution Log'!$G$5:$G$24,MATCH(A15,'Resolution Log'!$A$5:$A$24,0)),IF(COUNTIFS('Consistency Check'!$A$5:$A$99,A15,'Consistency Check'!$D$5:$D$99,"No")&gt;0,INDEX('Consistency Check'!$E$5:$E$99,MATCH(A15,'Consistency Check'!$A$5:$A$99,0)),C15))</f>
        <v>Money transfer or service</v>
      </c>
      <c r="E15" s="14" t="str">
        <f>IF(COUNTIF('Resolution Log'!$A$5:$A$24,A15)&gt;0,"Resolution Log (disagreement)",IF(COUNTIFS('Consistency Check'!$A$5:$A$99,A15,'Consistency Check'!$D$5:$D$99,"No")&gt;0,"Consistency Check (agreed label changed)",IF(COUNTIF('Consistency Check'!$A$5:$A$99,A15)&gt;0,"Consistency Check (agreed label confirmed)","Agreed label")))</f>
        <v>Agreed label</v>
      </c>
      <c r="F15" s="14" t="str">
        <f t="shared" si="0"/>
        <v/>
      </c>
      <c r="G15" s="14" t="str">
        <f t="shared" si="1"/>
        <v/>
      </c>
    </row>
    <row r="16" spans="1:7" ht="15" customHeight="1" x14ac:dyDescent="0.25">
      <c r="A16" s="14">
        <v>8095</v>
      </c>
      <c r="B16" s="14" t="str">
        <f>INDEX('Labeler 1'!$C$2:$C$181,MATCH(A16,'Labeler 1'!$A$2:$A$181,0))</f>
        <v>Money transfer or service</v>
      </c>
      <c r="C16" s="14" t="str">
        <f>INDEX('Labeler 2'!$C$2:$C$181,MATCH(A16,'Labeler 2'!$A$2:$A$181,0))</f>
        <v>Bank account or service</v>
      </c>
      <c r="D16" s="16" t="str">
        <f>IF(COUNTIF('Resolution Log'!$A$5:$A$24,A16)&gt;0,INDEX('Resolution Log'!$G$5:$G$24,MATCH(A16,'Resolution Log'!$A$5:$A$24,0)),IF(COUNTIFS('Consistency Check'!$A$5:$A$99,A16,'Consistency Check'!$D$5:$D$99,"No")&gt;0,INDEX('Consistency Check'!$E$5:$E$99,MATCH(A16,'Consistency Check'!$A$5:$A$99,0)),C16))</f>
        <v>Bank account or service</v>
      </c>
      <c r="E16" s="14" t="str">
        <f>IF(COUNTIF('Resolution Log'!$A$5:$A$24,A16)&gt;0,"Resolution Log (disagreement)",IF(COUNTIFS('Consistency Check'!$A$5:$A$99,A16,'Consistency Check'!$D$5:$D$99,"No")&gt;0,"Consistency Check (agreed label changed)",IF(COUNTIF('Consistency Check'!$A$5:$A$99,A16)&gt;0,"Consistency Check (agreed label confirmed)","Agreed label")))</f>
        <v>Resolution Log (disagreement)</v>
      </c>
      <c r="F16" s="14" t="str">
        <f t="shared" si="0"/>
        <v>Yes</v>
      </c>
      <c r="G16" s="14" t="str">
        <f t="shared" si="1"/>
        <v/>
      </c>
    </row>
    <row r="17" spans="1:7" ht="15" customHeight="1" x14ac:dyDescent="0.25">
      <c r="A17" s="14">
        <v>8096</v>
      </c>
      <c r="B17" s="14" t="str">
        <f>INDEX('Labeler 1'!$C$2:$C$181,MATCH(A17,'Labeler 1'!$A$2:$A$181,0))</f>
        <v>Money transfer or service</v>
      </c>
      <c r="C17" s="14" t="str">
        <f>INDEX('Labeler 2'!$C$2:$C$181,MATCH(A17,'Labeler 2'!$A$2:$A$181,0))</f>
        <v>Bank account or service</v>
      </c>
      <c r="D17" s="16" t="str">
        <f>IF(COUNTIF('Resolution Log'!$A$5:$A$24,A17)&gt;0,INDEX('Resolution Log'!$G$5:$G$24,MATCH(A17,'Resolution Log'!$A$5:$A$24,0)),IF(COUNTIFS('Consistency Check'!$A$5:$A$99,A17,'Consistency Check'!$D$5:$D$99,"No")&gt;0,INDEX('Consistency Check'!$E$5:$E$99,MATCH(A17,'Consistency Check'!$A$5:$A$99,0)),C17))</f>
        <v>Bank account or service</v>
      </c>
      <c r="E17" s="14" t="str">
        <f>IF(COUNTIF('Resolution Log'!$A$5:$A$24,A17)&gt;0,"Resolution Log (disagreement)",IF(COUNTIFS('Consistency Check'!$A$5:$A$99,A17,'Consistency Check'!$D$5:$D$99,"No")&gt;0,"Consistency Check (agreed label changed)",IF(COUNTIF('Consistency Check'!$A$5:$A$99,A17)&gt;0,"Consistency Check (agreed label confirmed)","Agreed label")))</f>
        <v>Resolution Log (disagreement)</v>
      </c>
      <c r="F17" s="14" t="str">
        <f t="shared" si="0"/>
        <v>Yes</v>
      </c>
      <c r="G17" s="14" t="str">
        <f t="shared" si="1"/>
        <v/>
      </c>
    </row>
    <row r="18" spans="1:7" ht="15" customHeight="1" x14ac:dyDescent="0.25">
      <c r="A18" s="14">
        <v>8097</v>
      </c>
      <c r="B18" s="14" t="str">
        <f>INDEX('Labeler 1'!$C$2:$C$181,MATCH(A18,'Labeler 1'!$A$2:$A$181,0))</f>
        <v>Credit reporting</v>
      </c>
      <c r="C18" s="14" t="str">
        <f>INDEX('Labeler 2'!$C$2:$C$181,MATCH(A18,'Labeler 2'!$A$2:$A$181,0))</f>
        <v>Credit reporting</v>
      </c>
      <c r="D18" s="16" t="str">
        <f>IF(COUNTIF('Resolution Log'!$A$5:$A$24,A18)&gt;0,INDEX('Resolution Log'!$G$5:$G$24,MATCH(A18,'Resolution Log'!$A$5:$A$24,0)),IF(COUNTIFS('Consistency Check'!$A$5:$A$99,A18,'Consistency Check'!$D$5:$D$99,"No")&gt;0,INDEX('Consistency Check'!$E$5:$E$99,MATCH(A18,'Consistency Check'!$A$5:$A$99,0)),C18))</f>
        <v>Credit reporting</v>
      </c>
      <c r="E18" s="14" t="str">
        <f>IF(COUNTIF('Resolution Log'!$A$5:$A$24,A18)&gt;0,"Resolution Log (disagreement)",IF(COUNTIFS('Consistency Check'!$A$5:$A$99,A18,'Consistency Check'!$D$5:$D$99,"No")&gt;0,"Consistency Check (agreed label changed)",IF(COUNTIF('Consistency Check'!$A$5:$A$99,A18)&gt;0,"Consistency Check (agreed label confirmed)","Agreed label")))</f>
        <v>Agreed label</v>
      </c>
      <c r="F18" s="14" t="str">
        <f t="shared" si="0"/>
        <v/>
      </c>
      <c r="G18" s="14" t="str">
        <f t="shared" si="1"/>
        <v/>
      </c>
    </row>
    <row r="19" spans="1:7" ht="15" customHeight="1" x14ac:dyDescent="0.25">
      <c r="A19" s="14">
        <v>8098</v>
      </c>
      <c r="B19" s="14" t="str">
        <f>INDEX('Labeler 1'!$C$2:$C$181,MATCH(A19,'Labeler 1'!$A$2:$A$181,0))</f>
        <v>Debt collection</v>
      </c>
      <c r="C19" s="14" t="str">
        <f>INDEX('Labeler 2'!$C$2:$C$181,MATCH(A19,'Labeler 2'!$A$2:$A$181,0))</f>
        <v>Debt collection</v>
      </c>
      <c r="D19" s="16" t="str">
        <f>IF(COUNTIF('Resolution Log'!$A$5:$A$24,A19)&gt;0,INDEX('Resolution Log'!$G$5:$G$24,MATCH(A19,'Resolution Log'!$A$5:$A$24,0)),IF(COUNTIFS('Consistency Check'!$A$5:$A$99,A19,'Consistency Check'!$D$5:$D$99,"No")&gt;0,INDEX('Consistency Check'!$E$5:$E$99,MATCH(A19,'Consistency Check'!$A$5:$A$99,0)),C19))</f>
        <v>Debt collection</v>
      </c>
      <c r="E19" s="14" t="str">
        <f>IF(COUNTIF('Resolution Log'!$A$5:$A$24,A19)&gt;0,"Resolution Log (disagreement)",IF(COUNTIFS('Consistency Check'!$A$5:$A$99,A19,'Consistency Check'!$D$5:$D$99,"No")&gt;0,"Consistency Check (agreed label changed)",IF(COUNTIF('Consistency Check'!$A$5:$A$99,A19)&gt;0,"Consistency Check (agreed label confirmed)","Agreed label")))</f>
        <v>Agreed label</v>
      </c>
      <c r="F19" s="14" t="str">
        <f t="shared" si="0"/>
        <v/>
      </c>
      <c r="G19" s="14" t="str">
        <f t="shared" si="1"/>
        <v/>
      </c>
    </row>
    <row r="20" spans="1:7" ht="15" customHeight="1" x14ac:dyDescent="0.25">
      <c r="A20" s="14">
        <v>8106</v>
      </c>
      <c r="B20" s="14" t="str">
        <f>INDEX('Labeler 1'!$C$2:$C$181,MATCH(A20,'Labeler 1'!$A$2:$A$181,0))</f>
        <v>Mortgage</v>
      </c>
      <c r="C20" s="14" t="str">
        <f>INDEX('Labeler 2'!$C$2:$C$181,MATCH(A20,'Labeler 2'!$A$2:$A$181,0))</f>
        <v>Mortgage</v>
      </c>
      <c r="D20" s="16" t="str">
        <f>IF(COUNTIF('Resolution Log'!$A$5:$A$24,A20)&gt;0,INDEX('Resolution Log'!$G$5:$G$24,MATCH(A20,'Resolution Log'!$A$5:$A$24,0)),IF(COUNTIFS('Consistency Check'!$A$5:$A$99,A20,'Consistency Check'!$D$5:$D$99,"No")&gt;0,INDEX('Consistency Check'!$E$5:$E$99,MATCH(A20,'Consistency Check'!$A$5:$A$99,0)),C20))</f>
        <v>Mortgage</v>
      </c>
      <c r="E20" s="14" t="str">
        <f>IF(COUNTIF('Resolution Log'!$A$5:$A$24,A20)&gt;0,"Resolution Log (disagreement)",IF(COUNTIFS('Consistency Check'!$A$5:$A$99,A20,'Consistency Check'!$D$5:$D$99,"No")&gt;0,"Consistency Check (agreed label changed)",IF(COUNTIF('Consistency Check'!$A$5:$A$99,A20)&gt;0,"Consistency Check (agreed label confirmed)","Agreed label")))</f>
        <v>Agreed label</v>
      </c>
      <c r="F20" s="14" t="str">
        <f t="shared" si="0"/>
        <v/>
      </c>
      <c r="G20" s="14" t="str">
        <f t="shared" si="1"/>
        <v/>
      </c>
    </row>
    <row r="21" spans="1:7" ht="15" customHeight="1" x14ac:dyDescent="0.25">
      <c r="A21" s="14">
        <v>8108</v>
      </c>
      <c r="B21" s="14" t="str">
        <f>INDEX('Labeler 1'!$C$2:$C$181,MATCH(A21,'Labeler 1'!$A$2:$A$181,0))</f>
        <v>Consumer loan</v>
      </c>
      <c r="C21" s="14" t="str">
        <f>INDEX('Labeler 2'!$C$2:$C$181,MATCH(A21,'Labeler 2'!$A$2:$A$181,0))</f>
        <v>Credit card</v>
      </c>
      <c r="D21" s="16" t="str">
        <f>IF(COUNTIF('Resolution Log'!$A$5:$A$24,A21)&gt;0,INDEX('Resolution Log'!$G$5:$G$24,MATCH(A21,'Resolution Log'!$A$5:$A$24,0)),IF(COUNTIFS('Consistency Check'!$A$5:$A$99,A21,'Consistency Check'!$D$5:$D$99,"No")&gt;0,INDEX('Consistency Check'!$E$5:$E$99,MATCH(A21,'Consistency Check'!$A$5:$A$99,0)),C21))</f>
        <v>Consumer loan</v>
      </c>
      <c r="E21" s="14" t="str">
        <f>IF(COUNTIF('Resolution Log'!$A$5:$A$24,A21)&gt;0,"Resolution Log (disagreement)",IF(COUNTIFS('Consistency Check'!$A$5:$A$99,A21,'Consistency Check'!$D$5:$D$99,"No")&gt;0,"Consistency Check (agreed label changed)",IF(COUNTIF('Consistency Check'!$A$5:$A$99,A21)&gt;0,"Consistency Check (agreed label confirmed)","Agreed label")))</f>
        <v>Resolution Log (disagreement)</v>
      </c>
      <c r="F21" s="14" t="str">
        <f t="shared" si="0"/>
        <v/>
      </c>
      <c r="G21" s="14" t="str">
        <f t="shared" si="1"/>
        <v>Yes</v>
      </c>
    </row>
    <row r="22" spans="1:7" ht="15" customHeight="1" x14ac:dyDescent="0.25">
      <c r="A22" s="14">
        <v>8118</v>
      </c>
      <c r="B22" s="14" t="str">
        <f>INDEX('Labeler 1'!$C$2:$C$181,MATCH(A22,'Labeler 1'!$A$2:$A$181,0))</f>
        <v>Money transfer or service</v>
      </c>
      <c r="C22" s="14" t="str">
        <f>INDEX('Labeler 2'!$C$2:$C$181,MATCH(A22,'Labeler 2'!$A$2:$A$181,0))</f>
        <v>Money transfer or service</v>
      </c>
      <c r="D22" s="16" t="str">
        <f>IF(COUNTIF('Resolution Log'!$A$5:$A$24,A22)&gt;0,INDEX('Resolution Log'!$G$5:$G$24,MATCH(A22,'Resolution Log'!$A$5:$A$24,0)),IF(COUNTIFS('Consistency Check'!$A$5:$A$99,A22,'Consistency Check'!$D$5:$D$99,"No")&gt;0,INDEX('Consistency Check'!$E$5:$E$99,MATCH(A22,'Consistency Check'!$A$5:$A$99,0)),C22))</f>
        <v>Money transfer or service</v>
      </c>
      <c r="E22" s="14" t="str">
        <f>IF(COUNTIF('Resolution Log'!$A$5:$A$24,A22)&gt;0,"Resolution Log (disagreement)",IF(COUNTIFS('Consistency Check'!$A$5:$A$99,A22,'Consistency Check'!$D$5:$D$99,"No")&gt;0,"Consistency Check (agreed label changed)",IF(COUNTIF('Consistency Check'!$A$5:$A$99,A22)&gt;0,"Consistency Check (agreed label confirmed)","Agreed label")))</f>
        <v>Agreed label</v>
      </c>
      <c r="F22" s="14" t="str">
        <f t="shared" si="0"/>
        <v/>
      </c>
      <c r="G22" s="14" t="str">
        <f t="shared" si="1"/>
        <v/>
      </c>
    </row>
    <row r="23" spans="1:7" ht="15" customHeight="1" x14ac:dyDescent="0.25">
      <c r="A23" s="14">
        <v>8122</v>
      </c>
      <c r="B23" s="14" t="str">
        <f>INDEX('Labeler 1'!$C$2:$C$181,MATCH(A23,'Labeler 1'!$A$2:$A$181,0))</f>
        <v>Credit reporting</v>
      </c>
      <c r="C23" s="14" t="str">
        <f>INDEX('Labeler 2'!$C$2:$C$181,MATCH(A23,'Labeler 2'!$A$2:$A$181,0))</f>
        <v>Credit reporting</v>
      </c>
      <c r="D23" s="16" t="str">
        <f>IF(COUNTIF('Resolution Log'!$A$5:$A$24,A23)&gt;0,INDEX('Resolution Log'!$G$5:$G$24,MATCH(A23,'Resolution Log'!$A$5:$A$24,0)),IF(COUNTIFS('Consistency Check'!$A$5:$A$99,A23,'Consistency Check'!$D$5:$D$99,"No")&gt;0,INDEX('Consistency Check'!$E$5:$E$99,MATCH(A23,'Consistency Check'!$A$5:$A$99,0)),C23))</f>
        <v>Credit reporting</v>
      </c>
      <c r="E23" s="14" t="str">
        <f>IF(COUNTIF('Resolution Log'!$A$5:$A$24,A23)&gt;0,"Resolution Log (disagreement)",IF(COUNTIFS('Consistency Check'!$A$5:$A$99,A23,'Consistency Check'!$D$5:$D$99,"No")&gt;0,"Consistency Check (agreed label changed)",IF(COUNTIF('Consistency Check'!$A$5:$A$99,A23)&gt;0,"Consistency Check (agreed label confirmed)","Agreed label")))</f>
        <v>Agreed label</v>
      </c>
      <c r="F23" s="14" t="str">
        <f t="shared" si="0"/>
        <v/>
      </c>
      <c r="G23" s="14" t="str">
        <f t="shared" si="1"/>
        <v/>
      </c>
    </row>
    <row r="24" spans="1:7" ht="15" customHeight="1" x14ac:dyDescent="0.25">
      <c r="A24" s="14">
        <v>8125</v>
      </c>
      <c r="B24" s="14" t="str">
        <f>INDEX('Labeler 1'!$C$2:$C$181,MATCH(A24,'Labeler 1'!$A$2:$A$181,0))</f>
        <v>Mortgage</v>
      </c>
      <c r="C24" s="14" t="str">
        <f>INDEX('Labeler 2'!$C$2:$C$181,MATCH(A24,'Labeler 2'!$A$2:$A$181,0))</f>
        <v>Mortgage</v>
      </c>
      <c r="D24" s="16" t="str">
        <f>IF(COUNTIF('Resolution Log'!$A$5:$A$24,A24)&gt;0,INDEX('Resolution Log'!$G$5:$G$24,MATCH(A24,'Resolution Log'!$A$5:$A$24,0)),IF(COUNTIFS('Consistency Check'!$A$5:$A$99,A24,'Consistency Check'!$D$5:$D$99,"No")&gt;0,INDEX('Consistency Check'!$E$5:$E$99,MATCH(A24,'Consistency Check'!$A$5:$A$99,0)),C24))</f>
        <v>Mortgage</v>
      </c>
      <c r="E24" s="14" t="str">
        <f>IF(COUNTIF('Resolution Log'!$A$5:$A$24,A24)&gt;0,"Resolution Log (disagreement)",IF(COUNTIFS('Consistency Check'!$A$5:$A$99,A24,'Consistency Check'!$D$5:$D$99,"No")&gt;0,"Consistency Check (agreed label changed)",IF(COUNTIF('Consistency Check'!$A$5:$A$99,A24)&gt;0,"Consistency Check (agreed label confirmed)","Agreed label")))</f>
        <v>Agreed label</v>
      </c>
      <c r="F24" s="14" t="str">
        <f t="shared" si="0"/>
        <v/>
      </c>
      <c r="G24" s="14" t="str">
        <f t="shared" si="1"/>
        <v/>
      </c>
    </row>
    <row r="25" spans="1:7" ht="15" customHeight="1" x14ac:dyDescent="0.25">
      <c r="A25" s="14">
        <v>8128</v>
      </c>
      <c r="B25" s="14" t="str">
        <f>INDEX('Labeler 1'!$C$2:$C$181,MATCH(A25,'Labeler 1'!$A$2:$A$181,0))</f>
        <v>Consumer loan</v>
      </c>
      <c r="C25" s="14" t="str">
        <f>INDEX('Labeler 2'!$C$2:$C$181,MATCH(A25,'Labeler 2'!$A$2:$A$181,0))</f>
        <v>Consumer loan</v>
      </c>
      <c r="D25" s="16" t="str">
        <f>IF(COUNTIF('Resolution Log'!$A$5:$A$24,A25)&gt;0,INDEX('Resolution Log'!$G$5:$G$24,MATCH(A25,'Resolution Log'!$A$5:$A$24,0)),IF(COUNTIFS('Consistency Check'!$A$5:$A$99,A25,'Consistency Check'!$D$5:$D$99,"No")&gt;0,INDEX('Consistency Check'!$E$5:$E$99,MATCH(A25,'Consistency Check'!$A$5:$A$99,0)),C25))</f>
        <v>Consumer loan</v>
      </c>
      <c r="E25" s="14" t="str">
        <f>IF(COUNTIF('Resolution Log'!$A$5:$A$24,A25)&gt;0,"Resolution Log (disagreement)",IF(COUNTIFS('Consistency Check'!$A$5:$A$99,A25,'Consistency Check'!$D$5:$D$99,"No")&gt;0,"Consistency Check (agreed label changed)",IF(COUNTIF('Consistency Check'!$A$5:$A$99,A25)&gt;0,"Consistency Check (agreed label confirmed)","Agreed label")))</f>
        <v>Consistency Check (agreed label confirmed)</v>
      </c>
      <c r="F25" s="14" t="str">
        <f t="shared" si="0"/>
        <v/>
      </c>
      <c r="G25" s="14" t="str">
        <f t="shared" si="1"/>
        <v/>
      </c>
    </row>
    <row r="26" spans="1:7" ht="15" customHeight="1" x14ac:dyDescent="0.25">
      <c r="A26" s="14">
        <v>8129</v>
      </c>
      <c r="B26" s="14" t="str">
        <f>INDEX('Labeler 1'!$C$2:$C$181,MATCH(A26,'Labeler 1'!$A$2:$A$181,0))</f>
        <v>Credit reporting</v>
      </c>
      <c r="C26" s="14" t="str">
        <f>INDEX('Labeler 2'!$C$2:$C$181,MATCH(A26,'Labeler 2'!$A$2:$A$181,0))</f>
        <v>Credit reporting</v>
      </c>
      <c r="D26" s="16" t="str">
        <f>IF(COUNTIF('Resolution Log'!$A$5:$A$24,A26)&gt;0,INDEX('Resolution Log'!$G$5:$G$24,MATCH(A26,'Resolution Log'!$A$5:$A$24,0)),IF(COUNTIFS('Consistency Check'!$A$5:$A$99,A26,'Consistency Check'!$D$5:$D$99,"No")&gt;0,INDEX('Consistency Check'!$E$5:$E$99,MATCH(A26,'Consistency Check'!$A$5:$A$99,0)),C26))</f>
        <v>Credit reporting</v>
      </c>
      <c r="E26" s="14" t="str">
        <f>IF(COUNTIF('Resolution Log'!$A$5:$A$24,A26)&gt;0,"Resolution Log (disagreement)",IF(COUNTIFS('Consistency Check'!$A$5:$A$99,A26,'Consistency Check'!$D$5:$D$99,"No")&gt;0,"Consistency Check (agreed label changed)",IF(COUNTIF('Consistency Check'!$A$5:$A$99,A26)&gt;0,"Consistency Check (agreed label confirmed)","Agreed label")))</f>
        <v>Agreed label</v>
      </c>
      <c r="F26" s="14" t="str">
        <f t="shared" si="0"/>
        <v/>
      </c>
      <c r="G26" s="14" t="str">
        <f t="shared" si="1"/>
        <v/>
      </c>
    </row>
    <row r="27" spans="1:7" ht="15" customHeight="1" x14ac:dyDescent="0.25">
      <c r="A27" s="14">
        <v>8130</v>
      </c>
      <c r="B27" s="14" t="str">
        <f>INDEX('Labeler 1'!$C$2:$C$181,MATCH(A27,'Labeler 1'!$A$2:$A$181,0))</f>
        <v>Credit reporting</v>
      </c>
      <c r="C27" s="14" t="str">
        <f>INDEX('Labeler 2'!$C$2:$C$181,MATCH(A27,'Labeler 2'!$A$2:$A$181,0))</f>
        <v>Credit reporting</v>
      </c>
      <c r="D27" s="16" t="str">
        <f>IF(COUNTIF('Resolution Log'!$A$5:$A$24,A27)&gt;0,INDEX('Resolution Log'!$G$5:$G$24,MATCH(A27,'Resolution Log'!$A$5:$A$24,0)),IF(COUNTIFS('Consistency Check'!$A$5:$A$99,A27,'Consistency Check'!$D$5:$D$99,"No")&gt;0,INDEX('Consistency Check'!$E$5:$E$99,MATCH(A27,'Consistency Check'!$A$5:$A$99,0)),C27))</f>
        <v>Credit reporting</v>
      </c>
      <c r="E27" s="14" t="str">
        <f>IF(COUNTIF('Resolution Log'!$A$5:$A$24,A27)&gt;0,"Resolution Log (disagreement)",IF(COUNTIFS('Consistency Check'!$A$5:$A$99,A27,'Consistency Check'!$D$5:$D$99,"No")&gt;0,"Consistency Check (agreed label changed)",IF(COUNTIF('Consistency Check'!$A$5:$A$99,A27)&gt;0,"Consistency Check (agreed label confirmed)","Agreed label")))</f>
        <v>Agreed label</v>
      </c>
      <c r="F27" s="14" t="str">
        <f t="shared" si="0"/>
        <v/>
      </c>
      <c r="G27" s="14" t="str">
        <f t="shared" si="1"/>
        <v/>
      </c>
    </row>
    <row r="28" spans="1:7" ht="15" customHeight="1" x14ac:dyDescent="0.25">
      <c r="A28" s="14">
        <v>8136</v>
      </c>
      <c r="B28" s="14" t="str">
        <f>INDEX('Labeler 1'!$C$2:$C$181,MATCH(A28,'Labeler 1'!$A$2:$A$181,0))</f>
        <v>Credit card</v>
      </c>
      <c r="C28" s="14" t="str">
        <f>INDEX('Labeler 2'!$C$2:$C$181,MATCH(A28,'Labeler 2'!$A$2:$A$181,0))</f>
        <v>Credit card</v>
      </c>
      <c r="D28" s="16" t="str">
        <f>IF(COUNTIF('Resolution Log'!$A$5:$A$24,A28)&gt;0,INDEX('Resolution Log'!$G$5:$G$24,MATCH(A28,'Resolution Log'!$A$5:$A$24,0)),IF(COUNTIFS('Consistency Check'!$A$5:$A$99,A28,'Consistency Check'!$D$5:$D$99,"No")&gt;0,INDEX('Consistency Check'!$E$5:$E$99,MATCH(A28,'Consistency Check'!$A$5:$A$99,0)),C28))</f>
        <v>Credit card</v>
      </c>
      <c r="E28" s="14" t="str">
        <f>IF(COUNTIF('Resolution Log'!$A$5:$A$24,A28)&gt;0,"Resolution Log (disagreement)",IF(COUNTIFS('Consistency Check'!$A$5:$A$99,A28,'Consistency Check'!$D$5:$D$99,"No")&gt;0,"Consistency Check (agreed label changed)",IF(COUNTIF('Consistency Check'!$A$5:$A$99,A28)&gt;0,"Consistency Check (agreed label confirmed)","Agreed label")))</f>
        <v>Agreed label</v>
      </c>
      <c r="F28" s="14" t="str">
        <f t="shared" si="0"/>
        <v/>
      </c>
      <c r="G28" s="14" t="str">
        <f t="shared" si="1"/>
        <v/>
      </c>
    </row>
    <row r="29" spans="1:7" ht="15" customHeight="1" x14ac:dyDescent="0.25">
      <c r="A29" s="14">
        <v>8142</v>
      </c>
      <c r="B29" s="14" t="str">
        <f>INDEX('Labeler 1'!$C$2:$C$181,MATCH(A29,'Labeler 1'!$A$2:$A$181,0))</f>
        <v>Money transfer or service</v>
      </c>
      <c r="C29" s="14" t="str">
        <f>INDEX('Labeler 2'!$C$2:$C$181,MATCH(A29,'Labeler 2'!$A$2:$A$181,0))</f>
        <v>Money transfer or service</v>
      </c>
      <c r="D29" s="16" t="str">
        <f>IF(COUNTIF('Resolution Log'!$A$5:$A$24,A29)&gt;0,INDEX('Resolution Log'!$G$5:$G$24,MATCH(A29,'Resolution Log'!$A$5:$A$24,0)),IF(COUNTIFS('Consistency Check'!$A$5:$A$99,A29,'Consistency Check'!$D$5:$D$99,"No")&gt;0,INDEX('Consistency Check'!$E$5:$E$99,MATCH(A29,'Consistency Check'!$A$5:$A$99,0)),C29))</f>
        <v>Bank account or service</v>
      </c>
      <c r="E29" s="14" t="str">
        <f>IF(COUNTIF('Resolution Log'!$A$5:$A$24,A29)&gt;0,"Resolution Log (disagreement)",IF(COUNTIFS('Consistency Check'!$A$5:$A$99,A29,'Consistency Check'!$D$5:$D$99,"No")&gt;0,"Consistency Check (agreed label changed)",IF(COUNTIF('Consistency Check'!$A$5:$A$99,A29)&gt;0,"Consistency Check (agreed label confirmed)","Agreed label")))</f>
        <v>Consistency Check (agreed label changed)</v>
      </c>
      <c r="F29" s="14" t="str">
        <f t="shared" si="0"/>
        <v>Yes</v>
      </c>
      <c r="G29" s="14" t="str">
        <f t="shared" si="1"/>
        <v>Yes</v>
      </c>
    </row>
    <row r="30" spans="1:7" ht="15" customHeight="1" x14ac:dyDescent="0.25">
      <c r="A30" s="14">
        <v>8166</v>
      </c>
      <c r="B30" s="14" t="str">
        <f>INDEX('Labeler 1'!$C$2:$C$181,MATCH(A30,'Labeler 1'!$A$2:$A$181,0))</f>
        <v>Money transfer or service</v>
      </c>
      <c r="C30" s="14" t="str">
        <f>INDEX('Labeler 2'!$C$2:$C$181,MATCH(A30,'Labeler 2'!$A$2:$A$181,0))</f>
        <v>Money transfer or service</v>
      </c>
      <c r="D30" s="16" t="str">
        <f>IF(COUNTIF('Resolution Log'!$A$5:$A$24,A30)&gt;0,INDEX('Resolution Log'!$G$5:$G$24,MATCH(A30,'Resolution Log'!$A$5:$A$24,0)),IF(COUNTIFS('Consistency Check'!$A$5:$A$99,A30,'Consistency Check'!$D$5:$D$99,"No")&gt;0,INDEX('Consistency Check'!$E$5:$E$99,MATCH(A30,'Consistency Check'!$A$5:$A$99,0)),C30))</f>
        <v>Money transfer or service</v>
      </c>
      <c r="E30" s="14" t="str">
        <f>IF(COUNTIF('Resolution Log'!$A$5:$A$24,A30)&gt;0,"Resolution Log (disagreement)",IF(COUNTIFS('Consistency Check'!$A$5:$A$99,A30,'Consistency Check'!$D$5:$D$99,"No")&gt;0,"Consistency Check (agreed label changed)",IF(COUNTIF('Consistency Check'!$A$5:$A$99,A30)&gt;0,"Consistency Check (agreed label confirmed)","Agreed label")))</f>
        <v>Agreed label</v>
      </c>
      <c r="F30" s="14" t="str">
        <f t="shared" si="0"/>
        <v/>
      </c>
      <c r="G30" s="14" t="str">
        <f t="shared" si="1"/>
        <v/>
      </c>
    </row>
    <row r="31" spans="1:7" ht="15" customHeight="1" x14ac:dyDescent="0.25">
      <c r="A31" s="14">
        <v>8168</v>
      </c>
      <c r="B31" s="14" t="str">
        <f>INDEX('Labeler 1'!$C$2:$C$181,MATCH(A31,'Labeler 1'!$A$2:$A$181,0))</f>
        <v>Credit reporting</v>
      </c>
      <c r="C31" s="14" t="str">
        <f>INDEX('Labeler 2'!$C$2:$C$181,MATCH(A31,'Labeler 2'!$A$2:$A$181,0))</f>
        <v>Credit reporting</v>
      </c>
      <c r="D31" s="16" t="str">
        <f>IF(COUNTIF('Resolution Log'!$A$5:$A$24,A31)&gt;0,INDEX('Resolution Log'!$G$5:$G$24,MATCH(A31,'Resolution Log'!$A$5:$A$24,0)),IF(COUNTIFS('Consistency Check'!$A$5:$A$99,A31,'Consistency Check'!$D$5:$D$99,"No")&gt;0,INDEX('Consistency Check'!$E$5:$E$99,MATCH(A31,'Consistency Check'!$A$5:$A$99,0)),C31))</f>
        <v>Credit reporting</v>
      </c>
      <c r="E31" s="14" t="str">
        <f>IF(COUNTIF('Resolution Log'!$A$5:$A$24,A31)&gt;0,"Resolution Log (disagreement)",IF(COUNTIFS('Consistency Check'!$A$5:$A$99,A31,'Consistency Check'!$D$5:$D$99,"No")&gt;0,"Consistency Check (agreed label changed)",IF(COUNTIF('Consistency Check'!$A$5:$A$99,A31)&gt;0,"Consistency Check (agreed label confirmed)","Agreed label")))</f>
        <v>Agreed label</v>
      </c>
      <c r="F31" s="14" t="str">
        <f t="shared" si="0"/>
        <v/>
      </c>
      <c r="G31" s="14" t="str">
        <f t="shared" si="1"/>
        <v/>
      </c>
    </row>
    <row r="32" spans="1:7" ht="15" customHeight="1" x14ac:dyDescent="0.25">
      <c r="A32" s="14">
        <v>8174</v>
      </c>
      <c r="B32" s="14" t="str">
        <f>INDEX('Labeler 1'!$C$2:$C$181,MATCH(A32,'Labeler 1'!$A$2:$A$181,0))</f>
        <v>Mortgage</v>
      </c>
      <c r="C32" s="14" t="str">
        <f>INDEX('Labeler 2'!$C$2:$C$181,MATCH(A32,'Labeler 2'!$A$2:$A$181,0))</f>
        <v>Mortgage</v>
      </c>
      <c r="D32" s="16" t="str">
        <f>IF(COUNTIF('Resolution Log'!$A$5:$A$24,A32)&gt;0,INDEX('Resolution Log'!$G$5:$G$24,MATCH(A32,'Resolution Log'!$A$5:$A$24,0)),IF(COUNTIFS('Consistency Check'!$A$5:$A$99,A32,'Consistency Check'!$D$5:$D$99,"No")&gt;0,INDEX('Consistency Check'!$E$5:$E$99,MATCH(A32,'Consistency Check'!$A$5:$A$99,0)),C32))</f>
        <v>Mortgage</v>
      </c>
      <c r="E32" s="14" t="str">
        <f>IF(COUNTIF('Resolution Log'!$A$5:$A$24,A32)&gt;0,"Resolution Log (disagreement)",IF(COUNTIFS('Consistency Check'!$A$5:$A$99,A32,'Consistency Check'!$D$5:$D$99,"No")&gt;0,"Consistency Check (agreed label changed)",IF(COUNTIF('Consistency Check'!$A$5:$A$99,A32)&gt;0,"Consistency Check (agreed label confirmed)","Agreed label")))</f>
        <v>Agreed label</v>
      </c>
      <c r="F32" s="14" t="str">
        <f t="shared" si="0"/>
        <v/>
      </c>
      <c r="G32" s="14" t="str">
        <f t="shared" si="1"/>
        <v/>
      </c>
    </row>
    <row r="33" spans="1:7" ht="15" customHeight="1" x14ac:dyDescent="0.25">
      <c r="A33" s="14">
        <v>8180</v>
      </c>
      <c r="B33" s="14" t="str">
        <f>INDEX('Labeler 1'!$C$2:$C$181,MATCH(A33,'Labeler 1'!$A$2:$A$181,0))</f>
        <v>Credit card</v>
      </c>
      <c r="C33" s="14" t="str">
        <f>INDEX('Labeler 2'!$C$2:$C$181,MATCH(A33,'Labeler 2'!$A$2:$A$181,0))</f>
        <v>Credit card</v>
      </c>
      <c r="D33" s="16" t="str">
        <f>IF(COUNTIF('Resolution Log'!$A$5:$A$24,A33)&gt;0,INDEX('Resolution Log'!$G$5:$G$24,MATCH(A33,'Resolution Log'!$A$5:$A$24,0)),IF(COUNTIFS('Consistency Check'!$A$5:$A$99,A33,'Consistency Check'!$D$5:$D$99,"No")&gt;0,INDEX('Consistency Check'!$E$5:$E$99,MATCH(A33,'Consistency Check'!$A$5:$A$99,0)),C33))</f>
        <v>Credit card</v>
      </c>
      <c r="E33" s="14" t="str">
        <f>IF(COUNTIF('Resolution Log'!$A$5:$A$24,A33)&gt;0,"Resolution Log (disagreement)",IF(COUNTIFS('Consistency Check'!$A$5:$A$99,A33,'Consistency Check'!$D$5:$D$99,"No")&gt;0,"Consistency Check (agreed label changed)",IF(COUNTIF('Consistency Check'!$A$5:$A$99,A33)&gt;0,"Consistency Check (agreed label confirmed)","Agreed label")))</f>
        <v>Agreed label</v>
      </c>
      <c r="F33" s="14" t="str">
        <f t="shared" si="0"/>
        <v/>
      </c>
      <c r="G33" s="14" t="str">
        <f t="shared" si="1"/>
        <v/>
      </c>
    </row>
    <row r="34" spans="1:7" ht="15" customHeight="1" x14ac:dyDescent="0.25">
      <c r="A34" s="14">
        <v>8184</v>
      </c>
      <c r="B34" s="14" t="str">
        <f>INDEX('Labeler 1'!$C$2:$C$181,MATCH(A34,'Labeler 1'!$A$2:$A$181,0))</f>
        <v>Credit reporting</v>
      </c>
      <c r="C34" s="14" t="str">
        <f>INDEX('Labeler 2'!$C$2:$C$181,MATCH(A34,'Labeler 2'!$A$2:$A$181,0))</f>
        <v>Credit reporting</v>
      </c>
      <c r="D34" s="16" t="str">
        <f>IF(COUNTIF('Resolution Log'!$A$5:$A$24,A34)&gt;0,INDEX('Resolution Log'!$G$5:$G$24,MATCH(A34,'Resolution Log'!$A$5:$A$24,0)),IF(COUNTIFS('Consistency Check'!$A$5:$A$99,A34,'Consistency Check'!$D$5:$D$99,"No")&gt;0,INDEX('Consistency Check'!$E$5:$E$99,MATCH(A34,'Consistency Check'!$A$5:$A$99,0)),C34))</f>
        <v>Credit reporting</v>
      </c>
      <c r="E34" s="14" t="str">
        <f>IF(COUNTIF('Resolution Log'!$A$5:$A$24,A34)&gt;0,"Resolution Log (disagreement)",IF(COUNTIFS('Consistency Check'!$A$5:$A$99,A34,'Consistency Check'!$D$5:$D$99,"No")&gt;0,"Consistency Check (agreed label changed)",IF(COUNTIF('Consistency Check'!$A$5:$A$99,A34)&gt;0,"Consistency Check (agreed label confirmed)","Agreed label")))</f>
        <v>Agreed label</v>
      </c>
      <c r="F34" s="14" t="str">
        <f t="shared" si="0"/>
        <v/>
      </c>
      <c r="G34" s="14" t="str">
        <f t="shared" si="1"/>
        <v/>
      </c>
    </row>
    <row r="35" spans="1:7" ht="15" customHeight="1" x14ac:dyDescent="0.25">
      <c r="A35" s="14">
        <v>8203</v>
      </c>
      <c r="B35" s="14" t="str">
        <f>INDEX('Labeler 1'!$C$2:$C$181,MATCH(A35,'Labeler 1'!$A$2:$A$181,0))</f>
        <v>Money transfer or service</v>
      </c>
      <c r="C35" s="14" t="str">
        <f>INDEX('Labeler 2'!$C$2:$C$181,MATCH(A35,'Labeler 2'!$A$2:$A$181,0))</f>
        <v>Money transfer or service</v>
      </c>
      <c r="D35" s="16" t="str">
        <f>IF(COUNTIF('Resolution Log'!$A$5:$A$24,A35)&gt;0,INDEX('Resolution Log'!$G$5:$G$24,MATCH(A35,'Resolution Log'!$A$5:$A$24,0)),IF(COUNTIFS('Consistency Check'!$A$5:$A$99,A35,'Consistency Check'!$D$5:$D$99,"No")&gt;0,INDEX('Consistency Check'!$E$5:$E$99,MATCH(A35,'Consistency Check'!$A$5:$A$99,0)),C35))</f>
        <v>Money transfer or service</v>
      </c>
      <c r="E35" s="14" t="str">
        <f>IF(COUNTIF('Resolution Log'!$A$5:$A$24,A35)&gt;0,"Resolution Log (disagreement)",IF(COUNTIFS('Consistency Check'!$A$5:$A$99,A35,'Consistency Check'!$D$5:$D$99,"No")&gt;0,"Consistency Check (agreed label changed)",IF(COUNTIF('Consistency Check'!$A$5:$A$99,A35)&gt;0,"Consistency Check (agreed label confirmed)","Agreed label")))</f>
        <v>Agreed label</v>
      </c>
      <c r="F35" s="14" t="str">
        <f t="shared" si="0"/>
        <v/>
      </c>
      <c r="G35" s="14" t="str">
        <f t="shared" si="1"/>
        <v/>
      </c>
    </row>
    <row r="36" spans="1:7" ht="15" customHeight="1" x14ac:dyDescent="0.25">
      <c r="A36" s="14">
        <v>8206</v>
      </c>
      <c r="B36" s="14" t="str">
        <f>INDEX('Labeler 1'!$C$2:$C$181,MATCH(A36,'Labeler 1'!$A$2:$A$181,0))</f>
        <v>Mortgage</v>
      </c>
      <c r="C36" s="14" t="str">
        <f>INDEX('Labeler 2'!$C$2:$C$181,MATCH(A36,'Labeler 2'!$A$2:$A$181,0))</f>
        <v>Mortgage</v>
      </c>
      <c r="D36" s="16" t="str">
        <f>IF(COUNTIF('Resolution Log'!$A$5:$A$24,A36)&gt;0,INDEX('Resolution Log'!$G$5:$G$24,MATCH(A36,'Resolution Log'!$A$5:$A$24,0)),IF(COUNTIFS('Consistency Check'!$A$5:$A$99,A36,'Consistency Check'!$D$5:$D$99,"No")&gt;0,INDEX('Consistency Check'!$E$5:$E$99,MATCH(A36,'Consistency Check'!$A$5:$A$99,0)),C36))</f>
        <v>Mortgage</v>
      </c>
      <c r="E36" s="14" t="str">
        <f>IF(COUNTIF('Resolution Log'!$A$5:$A$24,A36)&gt;0,"Resolution Log (disagreement)",IF(COUNTIFS('Consistency Check'!$A$5:$A$99,A36,'Consistency Check'!$D$5:$D$99,"No")&gt;0,"Consistency Check (agreed label changed)",IF(COUNTIF('Consistency Check'!$A$5:$A$99,A36)&gt;0,"Consistency Check (agreed label confirmed)","Agreed label")))</f>
        <v>Agreed label</v>
      </c>
      <c r="F36" s="14" t="str">
        <f t="shared" si="0"/>
        <v/>
      </c>
      <c r="G36" s="14" t="str">
        <f t="shared" si="1"/>
        <v/>
      </c>
    </row>
    <row r="37" spans="1:7" ht="15" customHeight="1" x14ac:dyDescent="0.25">
      <c r="A37" s="14">
        <v>8207</v>
      </c>
      <c r="B37" s="14" t="str">
        <f>INDEX('Labeler 1'!$C$2:$C$181,MATCH(A37,'Labeler 1'!$A$2:$A$181,0))</f>
        <v>Money transfer or service</v>
      </c>
      <c r="C37" s="14" t="str">
        <f>INDEX('Labeler 2'!$C$2:$C$181,MATCH(A37,'Labeler 2'!$A$2:$A$181,0))</f>
        <v>Money transfer or service</v>
      </c>
      <c r="D37" s="16" t="str">
        <f>IF(COUNTIF('Resolution Log'!$A$5:$A$24,A37)&gt;0,INDEX('Resolution Log'!$G$5:$G$24,MATCH(A37,'Resolution Log'!$A$5:$A$24,0)),IF(COUNTIFS('Consistency Check'!$A$5:$A$99,A37,'Consistency Check'!$D$5:$D$99,"No")&gt;0,INDEX('Consistency Check'!$E$5:$E$99,MATCH(A37,'Consistency Check'!$A$5:$A$99,0)),C37))</f>
        <v>Money transfer or service</v>
      </c>
      <c r="E37" s="14" t="str">
        <f>IF(COUNTIF('Resolution Log'!$A$5:$A$24,A37)&gt;0,"Resolution Log (disagreement)",IF(COUNTIFS('Consistency Check'!$A$5:$A$99,A37,'Consistency Check'!$D$5:$D$99,"No")&gt;0,"Consistency Check (agreed label changed)",IF(COUNTIF('Consistency Check'!$A$5:$A$99,A37)&gt;0,"Consistency Check (agreed label confirmed)","Agreed label")))</f>
        <v>Consistency Check (agreed label confirmed)</v>
      </c>
      <c r="F37" s="14" t="str">
        <f t="shared" ref="F37:F68" si="2">IF(D37&lt;&gt;B37,"Yes","")</f>
        <v/>
      </c>
      <c r="G37" s="14" t="str">
        <f t="shared" ref="G37:G68" si="3">IF(D37&lt;&gt;C37,"Yes","")</f>
        <v/>
      </c>
    </row>
    <row r="38" spans="1:7" ht="15" customHeight="1" x14ac:dyDescent="0.25">
      <c r="A38" s="14">
        <v>8213</v>
      </c>
      <c r="B38" s="14" t="str">
        <f>INDEX('Labeler 1'!$C$2:$C$181,MATCH(A38,'Labeler 1'!$A$2:$A$181,0))</f>
        <v>Mortgage</v>
      </c>
      <c r="C38" s="14" t="str">
        <f>INDEX('Labeler 2'!$C$2:$C$181,MATCH(A38,'Labeler 2'!$A$2:$A$181,0))</f>
        <v>Mortgage</v>
      </c>
      <c r="D38" s="16" t="str">
        <f>IF(COUNTIF('Resolution Log'!$A$5:$A$24,A38)&gt;0,INDEX('Resolution Log'!$G$5:$G$24,MATCH(A38,'Resolution Log'!$A$5:$A$24,0)),IF(COUNTIFS('Consistency Check'!$A$5:$A$99,A38,'Consistency Check'!$D$5:$D$99,"No")&gt;0,INDEX('Consistency Check'!$E$5:$E$99,MATCH(A38,'Consistency Check'!$A$5:$A$99,0)),C38))</f>
        <v>Mortgage</v>
      </c>
      <c r="E38" s="14" t="str">
        <f>IF(COUNTIF('Resolution Log'!$A$5:$A$24,A38)&gt;0,"Resolution Log (disagreement)",IF(COUNTIFS('Consistency Check'!$A$5:$A$99,A38,'Consistency Check'!$D$5:$D$99,"No")&gt;0,"Consistency Check (agreed label changed)",IF(COUNTIF('Consistency Check'!$A$5:$A$99,A38)&gt;0,"Consistency Check (agreed label confirmed)","Agreed label")))</f>
        <v>Agreed label</v>
      </c>
      <c r="F38" s="14" t="str">
        <f t="shared" si="2"/>
        <v/>
      </c>
      <c r="G38" s="14" t="str">
        <f t="shared" si="3"/>
        <v/>
      </c>
    </row>
    <row r="39" spans="1:7" ht="15" customHeight="1" x14ac:dyDescent="0.25">
      <c r="A39" s="14">
        <v>8215</v>
      </c>
      <c r="B39" s="14" t="str">
        <f>INDEX('Labeler 1'!$C$2:$C$181,MATCH(A39,'Labeler 1'!$A$2:$A$181,0))</f>
        <v>Credit reporting</v>
      </c>
      <c r="C39" s="14" t="str">
        <f>INDEX('Labeler 2'!$C$2:$C$181,MATCH(A39,'Labeler 2'!$A$2:$A$181,0))</f>
        <v>Credit reporting</v>
      </c>
      <c r="D39" s="16" t="str">
        <f>IF(COUNTIF('Resolution Log'!$A$5:$A$24,A39)&gt;0,INDEX('Resolution Log'!$G$5:$G$24,MATCH(A39,'Resolution Log'!$A$5:$A$24,0)),IF(COUNTIFS('Consistency Check'!$A$5:$A$99,A39,'Consistency Check'!$D$5:$D$99,"No")&gt;0,INDEX('Consistency Check'!$E$5:$E$99,MATCH(A39,'Consistency Check'!$A$5:$A$99,0)),C39))</f>
        <v>Credit reporting</v>
      </c>
      <c r="E39" s="14" t="str">
        <f>IF(COUNTIF('Resolution Log'!$A$5:$A$24,A39)&gt;0,"Resolution Log (disagreement)",IF(COUNTIFS('Consistency Check'!$A$5:$A$99,A39,'Consistency Check'!$D$5:$D$99,"No")&gt;0,"Consistency Check (agreed label changed)",IF(COUNTIF('Consistency Check'!$A$5:$A$99,A39)&gt;0,"Consistency Check (agreed label confirmed)","Agreed label")))</f>
        <v>Agreed label</v>
      </c>
      <c r="F39" s="14" t="str">
        <f t="shared" si="2"/>
        <v/>
      </c>
      <c r="G39" s="14" t="str">
        <f t="shared" si="3"/>
        <v/>
      </c>
    </row>
    <row r="40" spans="1:7" ht="15" customHeight="1" x14ac:dyDescent="0.25">
      <c r="A40" s="14">
        <v>8222</v>
      </c>
      <c r="B40" s="14" t="str">
        <f>INDEX('Labeler 1'!$C$2:$C$181,MATCH(A40,'Labeler 1'!$A$2:$A$181,0))</f>
        <v>Bank account or service</v>
      </c>
      <c r="C40" s="14" t="str">
        <f>INDEX('Labeler 2'!$C$2:$C$181,MATCH(A40,'Labeler 2'!$A$2:$A$181,0))</f>
        <v>Bank account or service</v>
      </c>
      <c r="D40" s="16" t="str">
        <f>IF(COUNTIF('Resolution Log'!$A$5:$A$24,A40)&gt;0,INDEX('Resolution Log'!$G$5:$G$24,MATCH(A40,'Resolution Log'!$A$5:$A$24,0)),IF(COUNTIFS('Consistency Check'!$A$5:$A$99,A40,'Consistency Check'!$D$5:$D$99,"No")&gt;0,INDEX('Consistency Check'!$E$5:$E$99,MATCH(A40,'Consistency Check'!$A$5:$A$99,0)),C40))</f>
        <v>Bank account or service</v>
      </c>
      <c r="E40" s="14" t="str">
        <f>IF(COUNTIF('Resolution Log'!$A$5:$A$24,A40)&gt;0,"Resolution Log (disagreement)",IF(COUNTIFS('Consistency Check'!$A$5:$A$99,A40,'Consistency Check'!$D$5:$D$99,"No")&gt;0,"Consistency Check (agreed label changed)",IF(COUNTIF('Consistency Check'!$A$5:$A$99,A40)&gt;0,"Consistency Check (agreed label confirmed)","Agreed label")))</f>
        <v>Agreed label</v>
      </c>
      <c r="F40" s="14" t="str">
        <f t="shared" si="2"/>
        <v/>
      </c>
      <c r="G40" s="14" t="str">
        <f t="shared" si="3"/>
        <v/>
      </c>
    </row>
    <row r="41" spans="1:7" ht="15" customHeight="1" x14ac:dyDescent="0.25">
      <c r="A41" s="14">
        <v>8225</v>
      </c>
      <c r="B41" s="14" t="str">
        <f>INDEX('Labeler 1'!$C$2:$C$181,MATCH(A41,'Labeler 1'!$A$2:$A$181,0))</f>
        <v>Credit reporting</v>
      </c>
      <c r="C41" s="14" t="str">
        <f>INDEX('Labeler 2'!$C$2:$C$181,MATCH(A41,'Labeler 2'!$A$2:$A$181,0))</f>
        <v>Credit reporting</v>
      </c>
      <c r="D41" s="16" t="str">
        <f>IF(COUNTIF('Resolution Log'!$A$5:$A$24,A41)&gt;0,INDEX('Resolution Log'!$G$5:$G$24,MATCH(A41,'Resolution Log'!$A$5:$A$24,0)),IF(COUNTIFS('Consistency Check'!$A$5:$A$99,A41,'Consistency Check'!$D$5:$D$99,"No")&gt;0,INDEX('Consistency Check'!$E$5:$E$99,MATCH(A41,'Consistency Check'!$A$5:$A$99,0)),C41))</f>
        <v>Credit reporting</v>
      </c>
      <c r="E41" s="14" t="str">
        <f>IF(COUNTIF('Resolution Log'!$A$5:$A$24,A41)&gt;0,"Resolution Log (disagreement)",IF(COUNTIFS('Consistency Check'!$A$5:$A$99,A41,'Consistency Check'!$D$5:$D$99,"No")&gt;0,"Consistency Check (agreed label changed)",IF(COUNTIF('Consistency Check'!$A$5:$A$99,A41)&gt;0,"Consistency Check (agreed label confirmed)","Agreed label")))</f>
        <v>Agreed label</v>
      </c>
      <c r="F41" s="14" t="str">
        <f t="shared" si="2"/>
        <v/>
      </c>
      <c r="G41" s="14" t="str">
        <f t="shared" si="3"/>
        <v/>
      </c>
    </row>
    <row r="42" spans="1:7" ht="15" customHeight="1" x14ac:dyDescent="0.25">
      <c r="A42" s="14">
        <v>8244</v>
      </c>
      <c r="B42" s="14" t="str">
        <f>INDEX('Labeler 1'!$C$2:$C$181,MATCH(A42,'Labeler 1'!$A$2:$A$181,0))</f>
        <v>Credit reporting</v>
      </c>
      <c r="C42" s="14" t="str">
        <f>INDEX('Labeler 2'!$C$2:$C$181,MATCH(A42,'Labeler 2'!$A$2:$A$181,0))</f>
        <v>Credit reporting</v>
      </c>
      <c r="D42" s="16" t="str">
        <f>IF(COUNTIF('Resolution Log'!$A$5:$A$24,A42)&gt;0,INDEX('Resolution Log'!$G$5:$G$24,MATCH(A42,'Resolution Log'!$A$5:$A$24,0)),IF(COUNTIFS('Consistency Check'!$A$5:$A$99,A42,'Consistency Check'!$D$5:$D$99,"No")&gt;0,INDEX('Consistency Check'!$E$5:$E$99,MATCH(A42,'Consistency Check'!$A$5:$A$99,0)),C42))</f>
        <v>Credit reporting</v>
      </c>
      <c r="E42" s="14" t="str">
        <f>IF(COUNTIF('Resolution Log'!$A$5:$A$24,A42)&gt;0,"Resolution Log (disagreement)",IF(COUNTIFS('Consistency Check'!$A$5:$A$99,A42,'Consistency Check'!$D$5:$D$99,"No")&gt;0,"Consistency Check (agreed label changed)",IF(COUNTIF('Consistency Check'!$A$5:$A$99,A42)&gt;0,"Consistency Check (agreed label confirmed)","Agreed label")))</f>
        <v>Agreed label</v>
      </c>
      <c r="F42" s="14" t="str">
        <f t="shared" si="2"/>
        <v/>
      </c>
      <c r="G42" s="14" t="str">
        <f t="shared" si="3"/>
        <v/>
      </c>
    </row>
    <row r="43" spans="1:7" ht="15" customHeight="1" x14ac:dyDescent="0.25">
      <c r="A43" s="14">
        <v>8245</v>
      </c>
      <c r="B43" s="14" t="str">
        <f>INDEX('Labeler 1'!$C$2:$C$181,MATCH(A43,'Labeler 1'!$A$2:$A$181,0))</f>
        <v>Credit reporting</v>
      </c>
      <c r="C43" s="14" t="str">
        <f>INDEX('Labeler 2'!$C$2:$C$181,MATCH(A43,'Labeler 2'!$A$2:$A$181,0))</f>
        <v>Credit reporting</v>
      </c>
      <c r="D43" s="16" t="str">
        <f>IF(COUNTIF('Resolution Log'!$A$5:$A$24,A43)&gt;0,INDEX('Resolution Log'!$G$5:$G$24,MATCH(A43,'Resolution Log'!$A$5:$A$24,0)),IF(COUNTIFS('Consistency Check'!$A$5:$A$99,A43,'Consistency Check'!$D$5:$D$99,"No")&gt;0,INDEX('Consistency Check'!$E$5:$E$99,MATCH(A43,'Consistency Check'!$A$5:$A$99,0)),C43))</f>
        <v>Credit reporting</v>
      </c>
      <c r="E43" s="14" t="str">
        <f>IF(COUNTIF('Resolution Log'!$A$5:$A$24,A43)&gt;0,"Resolution Log (disagreement)",IF(COUNTIFS('Consistency Check'!$A$5:$A$99,A43,'Consistency Check'!$D$5:$D$99,"No")&gt;0,"Consistency Check (agreed label changed)",IF(COUNTIF('Consistency Check'!$A$5:$A$99,A43)&gt;0,"Consistency Check (agreed label confirmed)","Agreed label")))</f>
        <v>Consistency Check (agreed label confirmed)</v>
      </c>
      <c r="F43" s="14" t="str">
        <f t="shared" si="2"/>
        <v/>
      </c>
      <c r="G43" s="14" t="str">
        <f t="shared" si="3"/>
        <v/>
      </c>
    </row>
    <row r="44" spans="1:7" ht="15" customHeight="1" x14ac:dyDescent="0.25">
      <c r="A44" s="14">
        <v>8248</v>
      </c>
      <c r="B44" s="14" t="str">
        <f>INDEX('Labeler 1'!$C$2:$C$181,MATCH(A44,'Labeler 1'!$A$2:$A$181,0))</f>
        <v>Money transfer or service</v>
      </c>
      <c r="C44" s="14" t="str">
        <f>INDEX('Labeler 2'!$C$2:$C$181,MATCH(A44,'Labeler 2'!$A$2:$A$181,0))</f>
        <v>Money transfer or service</v>
      </c>
      <c r="D44" s="16" t="str">
        <f>IF(COUNTIF('Resolution Log'!$A$5:$A$24,A44)&gt;0,INDEX('Resolution Log'!$G$5:$G$24,MATCH(A44,'Resolution Log'!$A$5:$A$24,0)),IF(COUNTIFS('Consistency Check'!$A$5:$A$99,A44,'Consistency Check'!$D$5:$D$99,"No")&gt;0,INDEX('Consistency Check'!$E$5:$E$99,MATCH(A44,'Consistency Check'!$A$5:$A$99,0)),C44))</f>
        <v>Money transfer or service</v>
      </c>
      <c r="E44" s="14" t="str">
        <f>IF(COUNTIF('Resolution Log'!$A$5:$A$24,A44)&gt;0,"Resolution Log (disagreement)",IF(COUNTIFS('Consistency Check'!$A$5:$A$99,A44,'Consistency Check'!$D$5:$D$99,"No")&gt;0,"Consistency Check (agreed label changed)",IF(COUNTIF('Consistency Check'!$A$5:$A$99,A44)&gt;0,"Consistency Check (agreed label confirmed)","Agreed label")))</f>
        <v>Agreed label</v>
      </c>
      <c r="F44" s="14" t="str">
        <f t="shared" si="2"/>
        <v/>
      </c>
      <c r="G44" s="14" t="str">
        <f t="shared" si="3"/>
        <v/>
      </c>
    </row>
    <row r="45" spans="1:7" ht="15" customHeight="1" x14ac:dyDescent="0.25">
      <c r="A45" s="14">
        <v>8250</v>
      </c>
      <c r="B45" s="14" t="str">
        <f>INDEX('Labeler 1'!$C$2:$C$181,MATCH(A45,'Labeler 1'!$A$2:$A$181,0))</f>
        <v>Credit reporting</v>
      </c>
      <c r="C45" s="14" t="str">
        <f>INDEX('Labeler 2'!$C$2:$C$181,MATCH(A45,'Labeler 2'!$A$2:$A$181,0))</f>
        <v>Credit reporting</v>
      </c>
      <c r="D45" s="16" t="str">
        <f>IF(COUNTIF('Resolution Log'!$A$5:$A$24,A45)&gt;0,INDEX('Resolution Log'!$G$5:$G$24,MATCH(A45,'Resolution Log'!$A$5:$A$24,0)),IF(COUNTIFS('Consistency Check'!$A$5:$A$99,A45,'Consistency Check'!$D$5:$D$99,"No")&gt;0,INDEX('Consistency Check'!$E$5:$E$99,MATCH(A45,'Consistency Check'!$A$5:$A$99,0)),C45))</f>
        <v>Credit reporting</v>
      </c>
      <c r="E45" s="14" t="str">
        <f>IF(COUNTIF('Resolution Log'!$A$5:$A$24,A45)&gt;0,"Resolution Log (disagreement)",IF(COUNTIFS('Consistency Check'!$A$5:$A$99,A45,'Consistency Check'!$D$5:$D$99,"No")&gt;0,"Consistency Check (agreed label changed)",IF(COUNTIF('Consistency Check'!$A$5:$A$99,A45)&gt;0,"Consistency Check (agreed label confirmed)","Agreed label")))</f>
        <v>Agreed label</v>
      </c>
      <c r="F45" s="14" t="str">
        <f t="shared" si="2"/>
        <v/>
      </c>
      <c r="G45" s="14" t="str">
        <f t="shared" si="3"/>
        <v/>
      </c>
    </row>
    <row r="46" spans="1:7" ht="15" customHeight="1" x14ac:dyDescent="0.25">
      <c r="A46" s="14">
        <v>8251</v>
      </c>
      <c r="B46" s="14" t="str">
        <f>INDEX('Labeler 1'!$C$2:$C$181,MATCH(A46,'Labeler 1'!$A$2:$A$181,0))</f>
        <v>Credit reporting</v>
      </c>
      <c r="C46" s="14" t="str">
        <f>INDEX('Labeler 2'!$C$2:$C$181,MATCH(A46,'Labeler 2'!$A$2:$A$181,0))</f>
        <v>Credit reporting</v>
      </c>
      <c r="D46" s="16" t="str">
        <f>IF(COUNTIF('Resolution Log'!$A$5:$A$24,A46)&gt;0,INDEX('Resolution Log'!$G$5:$G$24,MATCH(A46,'Resolution Log'!$A$5:$A$24,0)),IF(COUNTIFS('Consistency Check'!$A$5:$A$99,A46,'Consistency Check'!$D$5:$D$99,"No")&gt;0,INDEX('Consistency Check'!$E$5:$E$99,MATCH(A46,'Consistency Check'!$A$5:$A$99,0)),C46))</f>
        <v>Credit reporting</v>
      </c>
      <c r="E46" s="14" t="str">
        <f>IF(COUNTIF('Resolution Log'!$A$5:$A$24,A46)&gt;0,"Resolution Log (disagreement)",IF(COUNTIFS('Consistency Check'!$A$5:$A$99,A46,'Consistency Check'!$D$5:$D$99,"No")&gt;0,"Consistency Check (agreed label changed)",IF(COUNTIF('Consistency Check'!$A$5:$A$99,A46)&gt;0,"Consistency Check (agreed label confirmed)","Agreed label")))</f>
        <v>Agreed label</v>
      </c>
      <c r="F46" s="14" t="str">
        <f t="shared" si="2"/>
        <v/>
      </c>
      <c r="G46" s="14" t="str">
        <f t="shared" si="3"/>
        <v/>
      </c>
    </row>
    <row r="47" spans="1:7" ht="15" customHeight="1" x14ac:dyDescent="0.25">
      <c r="A47" s="14">
        <v>8257</v>
      </c>
      <c r="B47" s="14" t="str">
        <f>INDEX('Labeler 1'!$C$2:$C$181,MATCH(A47,'Labeler 1'!$A$2:$A$181,0))</f>
        <v>Money transfer or service</v>
      </c>
      <c r="C47" s="14" t="str">
        <f>INDEX('Labeler 2'!$C$2:$C$181,MATCH(A47,'Labeler 2'!$A$2:$A$181,0))</f>
        <v>Money transfer or service</v>
      </c>
      <c r="D47" s="16" t="str">
        <f>IF(COUNTIF('Resolution Log'!$A$5:$A$24,A47)&gt;0,INDEX('Resolution Log'!$G$5:$G$24,MATCH(A47,'Resolution Log'!$A$5:$A$24,0)),IF(COUNTIFS('Consistency Check'!$A$5:$A$99,A47,'Consistency Check'!$D$5:$D$99,"No")&gt;0,INDEX('Consistency Check'!$E$5:$E$99,MATCH(A47,'Consistency Check'!$A$5:$A$99,0)),C47))</f>
        <v>Money transfer or service</v>
      </c>
      <c r="E47" s="14" t="str">
        <f>IF(COUNTIF('Resolution Log'!$A$5:$A$24,A47)&gt;0,"Resolution Log (disagreement)",IF(COUNTIFS('Consistency Check'!$A$5:$A$99,A47,'Consistency Check'!$D$5:$D$99,"No")&gt;0,"Consistency Check (agreed label changed)",IF(COUNTIF('Consistency Check'!$A$5:$A$99,A47)&gt;0,"Consistency Check (agreed label confirmed)","Agreed label")))</f>
        <v>Agreed label</v>
      </c>
      <c r="F47" s="14" t="str">
        <f t="shared" si="2"/>
        <v/>
      </c>
      <c r="G47" s="14" t="str">
        <f t="shared" si="3"/>
        <v/>
      </c>
    </row>
    <row r="48" spans="1:7" ht="15" customHeight="1" x14ac:dyDescent="0.25">
      <c r="A48" s="14">
        <v>8263</v>
      </c>
      <c r="B48" s="14" t="str">
        <f>INDEX('Labeler 1'!$C$2:$C$181,MATCH(A48,'Labeler 1'!$A$2:$A$181,0))</f>
        <v>Debt collection</v>
      </c>
      <c r="C48" s="14" t="str">
        <f>INDEX('Labeler 2'!$C$2:$C$181,MATCH(A48,'Labeler 2'!$A$2:$A$181,0))</f>
        <v>Debt collection</v>
      </c>
      <c r="D48" s="16" t="str">
        <f>IF(COUNTIF('Resolution Log'!$A$5:$A$24,A48)&gt;0,INDEX('Resolution Log'!$G$5:$G$24,MATCH(A48,'Resolution Log'!$A$5:$A$24,0)),IF(COUNTIFS('Consistency Check'!$A$5:$A$99,A48,'Consistency Check'!$D$5:$D$99,"No")&gt;0,INDEX('Consistency Check'!$E$5:$E$99,MATCH(A48,'Consistency Check'!$A$5:$A$99,0)),C48))</f>
        <v>Debt collection</v>
      </c>
      <c r="E48" s="14" t="str">
        <f>IF(COUNTIF('Resolution Log'!$A$5:$A$24,A48)&gt;0,"Resolution Log (disagreement)",IF(COUNTIFS('Consistency Check'!$A$5:$A$99,A48,'Consistency Check'!$D$5:$D$99,"No")&gt;0,"Consistency Check (agreed label changed)",IF(COUNTIF('Consistency Check'!$A$5:$A$99,A48)&gt;0,"Consistency Check (agreed label confirmed)","Agreed label")))</f>
        <v>Consistency Check (agreed label confirmed)</v>
      </c>
      <c r="F48" s="14" t="str">
        <f t="shared" si="2"/>
        <v/>
      </c>
      <c r="G48" s="14" t="str">
        <f t="shared" si="3"/>
        <v/>
      </c>
    </row>
    <row r="49" spans="1:7" ht="15" customHeight="1" x14ac:dyDescent="0.25">
      <c r="A49" s="14">
        <v>8264</v>
      </c>
      <c r="B49" s="14" t="str">
        <f>INDEX('Labeler 1'!$C$2:$C$181,MATCH(A49,'Labeler 1'!$A$2:$A$181,0))</f>
        <v>Money transfer or service</v>
      </c>
      <c r="C49" s="14" t="str">
        <f>INDEX('Labeler 2'!$C$2:$C$181,MATCH(A49,'Labeler 2'!$A$2:$A$181,0))</f>
        <v>Bank account or service</v>
      </c>
      <c r="D49" s="16" t="str">
        <f>IF(COUNTIF('Resolution Log'!$A$5:$A$24,A49)&gt;0,INDEX('Resolution Log'!$G$5:$G$24,MATCH(A49,'Resolution Log'!$A$5:$A$24,0)),IF(COUNTIFS('Consistency Check'!$A$5:$A$99,A49,'Consistency Check'!$D$5:$D$99,"No")&gt;0,INDEX('Consistency Check'!$E$5:$E$99,MATCH(A49,'Consistency Check'!$A$5:$A$99,0)),C49))</f>
        <v>Bank account or service</v>
      </c>
      <c r="E49" s="14" t="str">
        <f>IF(COUNTIF('Resolution Log'!$A$5:$A$24,A49)&gt;0,"Resolution Log (disagreement)",IF(COUNTIFS('Consistency Check'!$A$5:$A$99,A49,'Consistency Check'!$D$5:$D$99,"No")&gt;0,"Consistency Check (agreed label changed)",IF(COUNTIF('Consistency Check'!$A$5:$A$99,A49)&gt;0,"Consistency Check (agreed label confirmed)","Agreed label")))</f>
        <v>Resolution Log (disagreement)</v>
      </c>
      <c r="F49" s="14" t="str">
        <f t="shared" si="2"/>
        <v>Yes</v>
      </c>
      <c r="G49" s="14" t="str">
        <f t="shared" si="3"/>
        <v/>
      </c>
    </row>
    <row r="50" spans="1:7" ht="15" customHeight="1" x14ac:dyDescent="0.25">
      <c r="A50" s="14">
        <v>8270</v>
      </c>
      <c r="B50" s="14" t="str">
        <f>INDEX('Labeler 1'!$C$2:$C$181,MATCH(A50,'Labeler 1'!$A$2:$A$181,0))</f>
        <v>Credit card</v>
      </c>
      <c r="C50" s="14" t="str">
        <f>INDEX('Labeler 2'!$C$2:$C$181,MATCH(A50,'Labeler 2'!$A$2:$A$181,0))</f>
        <v>Credit card</v>
      </c>
      <c r="D50" s="16" t="str">
        <f>IF(COUNTIF('Resolution Log'!$A$5:$A$24,A50)&gt;0,INDEX('Resolution Log'!$G$5:$G$24,MATCH(A50,'Resolution Log'!$A$5:$A$24,0)),IF(COUNTIFS('Consistency Check'!$A$5:$A$99,A50,'Consistency Check'!$D$5:$D$99,"No")&gt;0,INDEX('Consistency Check'!$E$5:$E$99,MATCH(A50,'Consistency Check'!$A$5:$A$99,0)),C50))</f>
        <v>Credit card</v>
      </c>
      <c r="E50" s="14" t="str">
        <f>IF(COUNTIF('Resolution Log'!$A$5:$A$24,A50)&gt;0,"Resolution Log (disagreement)",IF(COUNTIFS('Consistency Check'!$A$5:$A$99,A50,'Consistency Check'!$D$5:$D$99,"No")&gt;0,"Consistency Check (agreed label changed)",IF(COUNTIF('Consistency Check'!$A$5:$A$99,A50)&gt;0,"Consistency Check (agreed label confirmed)","Agreed label")))</f>
        <v>Agreed label</v>
      </c>
      <c r="F50" s="14" t="str">
        <f t="shared" si="2"/>
        <v/>
      </c>
      <c r="G50" s="14" t="str">
        <f t="shared" si="3"/>
        <v/>
      </c>
    </row>
    <row r="51" spans="1:7" ht="15" customHeight="1" x14ac:dyDescent="0.25">
      <c r="A51" s="14">
        <v>8274</v>
      </c>
      <c r="B51" s="14" t="str">
        <f>INDEX('Labeler 1'!$C$2:$C$181,MATCH(A51,'Labeler 1'!$A$2:$A$181,0))</f>
        <v>Credit reporting</v>
      </c>
      <c r="C51" s="14" t="str">
        <f>INDEX('Labeler 2'!$C$2:$C$181,MATCH(A51,'Labeler 2'!$A$2:$A$181,0))</f>
        <v>Credit reporting</v>
      </c>
      <c r="D51" s="16" t="str">
        <f>IF(COUNTIF('Resolution Log'!$A$5:$A$24,A51)&gt;0,INDEX('Resolution Log'!$G$5:$G$24,MATCH(A51,'Resolution Log'!$A$5:$A$24,0)),IF(COUNTIFS('Consistency Check'!$A$5:$A$99,A51,'Consistency Check'!$D$5:$D$99,"No")&gt;0,INDEX('Consistency Check'!$E$5:$E$99,MATCH(A51,'Consistency Check'!$A$5:$A$99,0)),C51))</f>
        <v>Credit reporting</v>
      </c>
      <c r="E51" s="14" t="str">
        <f>IF(COUNTIF('Resolution Log'!$A$5:$A$24,A51)&gt;0,"Resolution Log (disagreement)",IF(COUNTIFS('Consistency Check'!$A$5:$A$99,A51,'Consistency Check'!$D$5:$D$99,"No")&gt;0,"Consistency Check (agreed label changed)",IF(COUNTIF('Consistency Check'!$A$5:$A$99,A51)&gt;0,"Consistency Check (agreed label confirmed)","Agreed label")))</f>
        <v>Agreed label</v>
      </c>
      <c r="F51" s="14" t="str">
        <f t="shared" si="2"/>
        <v/>
      </c>
      <c r="G51" s="14" t="str">
        <f t="shared" si="3"/>
        <v/>
      </c>
    </row>
    <row r="52" spans="1:7" ht="15" customHeight="1" x14ac:dyDescent="0.25">
      <c r="A52" s="14">
        <v>8278</v>
      </c>
      <c r="B52" s="14" t="str">
        <f>INDEX('Labeler 1'!$C$2:$C$181,MATCH(A52,'Labeler 1'!$A$2:$A$181,0))</f>
        <v>Money transfer or service</v>
      </c>
      <c r="C52" s="14" t="str">
        <f>INDEX('Labeler 2'!$C$2:$C$181,MATCH(A52,'Labeler 2'!$A$2:$A$181,0))</f>
        <v>Money transfer or service</v>
      </c>
      <c r="D52" s="16" t="str">
        <f>IF(COUNTIF('Resolution Log'!$A$5:$A$24,A52)&gt;0,INDEX('Resolution Log'!$G$5:$G$24,MATCH(A52,'Resolution Log'!$A$5:$A$24,0)),IF(COUNTIFS('Consistency Check'!$A$5:$A$99,A52,'Consistency Check'!$D$5:$D$99,"No")&gt;0,INDEX('Consistency Check'!$E$5:$E$99,MATCH(A52,'Consistency Check'!$A$5:$A$99,0)),C52))</f>
        <v>Money transfer or service</v>
      </c>
      <c r="E52" s="14" t="str">
        <f>IF(COUNTIF('Resolution Log'!$A$5:$A$24,A52)&gt;0,"Resolution Log (disagreement)",IF(COUNTIFS('Consistency Check'!$A$5:$A$99,A52,'Consistency Check'!$D$5:$D$99,"No")&gt;0,"Consistency Check (agreed label changed)",IF(COUNTIF('Consistency Check'!$A$5:$A$99,A52)&gt;0,"Consistency Check (agreed label confirmed)","Agreed label")))</f>
        <v>Agreed label</v>
      </c>
      <c r="F52" s="14" t="str">
        <f t="shared" si="2"/>
        <v/>
      </c>
      <c r="G52" s="14" t="str">
        <f t="shared" si="3"/>
        <v/>
      </c>
    </row>
    <row r="53" spans="1:7" ht="15" customHeight="1" x14ac:dyDescent="0.25">
      <c r="A53" s="14">
        <v>8284</v>
      </c>
      <c r="B53" s="14" t="str">
        <f>INDEX('Labeler 1'!$C$2:$C$181,MATCH(A53,'Labeler 1'!$A$2:$A$181,0))</f>
        <v>Money transfer or service</v>
      </c>
      <c r="C53" s="14" t="str">
        <f>INDEX('Labeler 2'!$C$2:$C$181,MATCH(A53,'Labeler 2'!$A$2:$A$181,0))</f>
        <v>Bank account or service</v>
      </c>
      <c r="D53" s="16" t="str">
        <f>IF(COUNTIF('Resolution Log'!$A$5:$A$24,A53)&gt;0,INDEX('Resolution Log'!$G$5:$G$24,MATCH(A53,'Resolution Log'!$A$5:$A$24,0)),IF(COUNTIFS('Consistency Check'!$A$5:$A$99,A53,'Consistency Check'!$D$5:$D$99,"No")&gt;0,INDEX('Consistency Check'!$E$5:$E$99,MATCH(A53,'Consistency Check'!$A$5:$A$99,0)),C53))</f>
        <v>Money transfer or service</v>
      </c>
      <c r="E53" s="14" t="str">
        <f>IF(COUNTIF('Resolution Log'!$A$5:$A$24,A53)&gt;0,"Resolution Log (disagreement)",IF(COUNTIFS('Consistency Check'!$A$5:$A$99,A53,'Consistency Check'!$D$5:$D$99,"No")&gt;0,"Consistency Check (agreed label changed)",IF(COUNTIF('Consistency Check'!$A$5:$A$99,A53)&gt;0,"Consistency Check (agreed label confirmed)","Agreed label")))</f>
        <v>Resolution Log (disagreement)</v>
      </c>
      <c r="F53" s="14" t="str">
        <f t="shared" si="2"/>
        <v/>
      </c>
      <c r="G53" s="14" t="str">
        <f t="shared" si="3"/>
        <v>Yes</v>
      </c>
    </row>
    <row r="54" spans="1:7" ht="15" customHeight="1" x14ac:dyDescent="0.25">
      <c r="A54" s="14">
        <v>8287</v>
      </c>
      <c r="B54" s="14" t="str">
        <f>INDEX('Labeler 1'!$C$2:$C$181,MATCH(A54,'Labeler 1'!$A$2:$A$181,0))</f>
        <v>Credit reporting</v>
      </c>
      <c r="C54" s="14" t="str">
        <f>INDEX('Labeler 2'!$C$2:$C$181,MATCH(A54,'Labeler 2'!$A$2:$A$181,0))</f>
        <v>Credit reporting</v>
      </c>
      <c r="D54" s="16" t="str">
        <f>IF(COUNTIF('Resolution Log'!$A$5:$A$24,A54)&gt;0,INDEX('Resolution Log'!$G$5:$G$24,MATCH(A54,'Resolution Log'!$A$5:$A$24,0)),IF(COUNTIFS('Consistency Check'!$A$5:$A$99,A54,'Consistency Check'!$D$5:$D$99,"No")&gt;0,INDEX('Consistency Check'!$E$5:$E$99,MATCH(A54,'Consistency Check'!$A$5:$A$99,0)),C54))</f>
        <v>Credit reporting</v>
      </c>
      <c r="E54" s="14" t="str">
        <f>IF(COUNTIF('Resolution Log'!$A$5:$A$24,A54)&gt;0,"Resolution Log (disagreement)",IF(COUNTIFS('Consistency Check'!$A$5:$A$99,A54,'Consistency Check'!$D$5:$D$99,"No")&gt;0,"Consistency Check (agreed label changed)",IF(COUNTIF('Consistency Check'!$A$5:$A$99,A54)&gt;0,"Consistency Check (agreed label confirmed)","Agreed label")))</f>
        <v>Agreed label</v>
      </c>
      <c r="F54" s="14" t="str">
        <f t="shared" si="2"/>
        <v/>
      </c>
      <c r="G54" s="14" t="str">
        <f t="shared" si="3"/>
        <v/>
      </c>
    </row>
    <row r="55" spans="1:7" ht="15" customHeight="1" x14ac:dyDescent="0.25">
      <c r="A55" s="14">
        <v>8291</v>
      </c>
      <c r="B55" s="14" t="str">
        <f>INDEX('Labeler 1'!$C$2:$C$181,MATCH(A55,'Labeler 1'!$A$2:$A$181,0))</f>
        <v>Credit card</v>
      </c>
      <c r="C55" s="14" t="str">
        <f>INDEX('Labeler 2'!$C$2:$C$181,MATCH(A55,'Labeler 2'!$A$2:$A$181,0))</f>
        <v>Credit card</v>
      </c>
      <c r="D55" s="16" t="str">
        <f>IF(COUNTIF('Resolution Log'!$A$5:$A$24,A55)&gt;0,INDEX('Resolution Log'!$G$5:$G$24,MATCH(A55,'Resolution Log'!$A$5:$A$24,0)),IF(COUNTIFS('Consistency Check'!$A$5:$A$99,A55,'Consistency Check'!$D$5:$D$99,"No")&gt;0,INDEX('Consistency Check'!$E$5:$E$99,MATCH(A55,'Consistency Check'!$A$5:$A$99,0)),C55))</f>
        <v>Credit card</v>
      </c>
      <c r="E55" s="14" t="str">
        <f>IF(COUNTIF('Resolution Log'!$A$5:$A$24,A55)&gt;0,"Resolution Log (disagreement)",IF(COUNTIFS('Consistency Check'!$A$5:$A$99,A55,'Consistency Check'!$D$5:$D$99,"No")&gt;0,"Consistency Check (agreed label changed)",IF(COUNTIF('Consistency Check'!$A$5:$A$99,A55)&gt;0,"Consistency Check (agreed label confirmed)","Agreed label")))</f>
        <v>Agreed label</v>
      </c>
      <c r="F55" s="14" t="str">
        <f t="shared" si="2"/>
        <v/>
      </c>
      <c r="G55" s="14" t="str">
        <f t="shared" si="3"/>
        <v/>
      </c>
    </row>
    <row r="56" spans="1:7" ht="15" customHeight="1" x14ac:dyDescent="0.25">
      <c r="A56" s="14">
        <v>8292</v>
      </c>
      <c r="B56" s="14" t="str">
        <f>INDEX('Labeler 1'!$C$2:$C$181,MATCH(A56,'Labeler 1'!$A$2:$A$181,0))</f>
        <v>Credit card</v>
      </c>
      <c r="C56" s="14" t="str">
        <f>INDEX('Labeler 2'!$C$2:$C$181,MATCH(A56,'Labeler 2'!$A$2:$A$181,0))</f>
        <v>Credit card</v>
      </c>
      <c r="D56" s="16" t="str">
        <f>IF(COUNTIF('Resolution Log'!$A$5:$A$24,A56)&gt;0,INDEX('Resolution Log'!$G$5:$G$24,MATCH(A56,'Resolution Log'!$A$5:$A$24,0)),IF(COUNTIFS('Consistency Check'!$A$5:$A$99,A56,'Consistency Check'!$D$5:$D$99,"No")&gt;0,INDEX('Consistency Check'!$E$5:$E$99,MATCH(A56,'Consistency Check'!$A$5:$A$99,0)),C56))</f>
        <v>Credit card</v>
      </c>
      <c r="E56" s="14" t="str">
        <f>IF(COUNTIF('Resolution Log'!$A$5:$A$24,A56)&gt;0,"Resolution Log (disagreement)",IF(COUNTIFS('Consistency Check'!$A$5:$A$99,A56,'Consistency Check'!$D$5:$D$99,"No")&gt;0,"Consistency Check (agreed label changed)",IF(COUNTIF('Consistency Check'!$A$5:$A$99,A56)&gt;0,"Consistency Check (agreed label confirmed)","Agreed label")))</f>
        <v>Agreed label</v>
      </c>
      <c r="F56" s="14" t="str">
        <f t="shared" si="2"/>
        <v/>
      </c>
      <c r="G56" s="14" t="str">
        <f t="shared" si="3"/>
        <v/>
      </c>
    </row>
    <row r="57" spans="1:7" ht="15" customHeight="1" x14ac:dyDescent="0.25">
      <c r="A57" s="14">
        <v>8299</v>
      </c>
      <c r="B57" s="14" t="str">
        <f>INDEX('Labeler 1'!$C$2:$C$181,MATCH(A57,'Labeler 1'!$A$2:$A$181,0))</f>
        <v>Mortgage</v>
      </c>
      <c r="C57" s="14" t="str">
        <f>INDEX('Labeler 2'!$C$2:$C$181,MATCH(A57,'Labeler 2'!$A$2:$A$181,0))</f>
        <v>Mortgage</v>
      </c>
      <c r="D57" s="16" t="str">
        <f>IF(COUNTIF('Resolution Log'!$A$5:$A$24,A57)&gt;0,INDEX('Resolution Log'!$G$5:$G$24,MATCH(A57,'Resolution Log'!$A$5:$A$24,0)),IF(COUNTIFS('Consistency Check'!$A$5:$A$99,A57,'Consistency Check'!$D$5:$D$99,"No")&gt;0,INDEX('Consistency Check'!$E$5:$E$99,MATCH(A57,'Consistency Check'!$A$5:$A$99,0)),C57))</f>
        <v>Mortgage</v>
      </c>
      <c r="E57" s="14" t="str">
        <f>IF(COUNTIF('Resolution Log'!$A$5:$A$24,A57)&gt;0,"Resolution Log (disagreement)",IF(COUNTIFS('Consistency Check'!$A$5:$A$99,A57,'Consistency Check'!$D$5:$D$99,"No")&gt;0,"Consistency Check (agreed label changed)",IF(COUNTIF('Consistency Check'!$A$5:$A$99,A57)&gt;0,"Consistency Check (agreed label confirmed)","Agreed label")))</f>
        <v>Agreed label</v>
      </c>
      <c r="F57" s="14" t="str">
        <f t="shared" si="2"/>
        <v/>
      </c>
      <c r="G57" s="14" t="str">
        <f t="shared" si="3"/>
        <v/>
      </c>
    </row>
    <row r="58" spans="1:7" ht="15" customHeight="1" x14ac:dyDescent="0.25">
      <c r="A58" s="14">
        <v>8301</v>
      </c>
      <c r="B58" s="14" t="str">
        <f>INDEX('Labeler 1'!$C$2:$C$181,MATCH(A58,'Labeler 1'!$A$2:$A$181,0))</f>
        <v>Credit reporting</v>
      </c>
      <c r="C58" s="14" t="str">
        <f>INDEX('Labeler 2'!$C$2:$C$181,MATCH(A58,'Labeler 2'!$A$2:$A$181,0))</f>
        <v>Credit reporting</v>
      </c>
      <c r="D58" s="16" t="str">
        <f>IF(COUNTIF('Resolution Log'!$A$5:$A$24,A58)&gt;0,INDEX('Resolution Log'!$G$5:$G$24,MATCH(A58,'Resolution Log'!$A$5:$A$24,0)),IF(COUNTIFS('Consistency Check'!$A$5:$A$99,A58,'Consistency Check'!$D$5:$D$99,"No")&gt;0,INDEX('Consistency Check'!$E$5:$E$99,MATCH(A58,'Consistency Check'!$A$5:$A$99,0)),C58))</f>
        <v>Credit reporting</v>
      </c>
      <c r="E58" s="14" t="str">
        <f>IF(COUNTIF('Resolution Log'!$A$5:$A$24,A58)&gt;0,"Resolution Log (disagreement)",IF(COUNTIFS('Consistency Check'!$A$5:$A$99,A58,'Consistency Check'!$D$5:$D$99,"No")&gt;0,"Consistency Check (agreed label changed)",IF(COUNTIF('Consistency Check'!$A$5:$A$99,A58)&gt;0,"Consistency Check (agreed label confirmed)","Agreed label")))</f>
        <v>Consistency Check (agreed label confirmed)</v>
      </c>
      <c r="F58" s="14" t="str">
        <f t="shared" si="2"/>
        <v/>
      </c>
      <c r="G58" s="14" t="str">
        <f t="shared" si="3"/>
        <v/>
      </c>
    </row>
    <row r="59" spans="1:7" ht="15" customHeight="1" x14ac:dyDescent="0.25">
      <c r="A59" s="14">
        <v>8307</v>
      </c>
      <c r="B59" s="14" t="str">
        <f>INDEX('Labeler 1'!$C$2:$C$181,MATCH(A59,'Labeler 1'!$A$2:$A$181,0))</f>
        <v>Mortgage</v>
      </c>
      <c r="C59" s="14" t="str">
        <f>INDEX('Labeler 2'!$C$2:$C$181,MATCH(A59,'Labeler 2'!$A$2:$A$181,0))</f>
        <v>Mortgage</v>
      </c>
      <c r="D59" s="16" t="str">
        <f>IF(COUNTIF('Resolution Log'!$A$5:$A$24,A59)&gt;0,INDEX('Resolution Log'!$G$5:$G$24,MATCH(A59,'Resolution Log'!$A$5:$A$24,0)),IF(COUNTIFS('Consistency Check'!$A$5:$A$99,A59,'Consistency Check'!$D$5:$D$99,"No")&gt;0,INDEX('Consistency Check'!$E$5:$E$99,MATCH(A59,'Consistency Check'!$A$5:$A$99,0)),C59))</f>
        <v>Mortgage</v>
      </c>
      <c r="E59" s="14" t="str">
        <f>IF(COUNTIF('Resolution Log'!$A$5:$A$24,A59)&gt;0,"Resolution Log (disagreement)",IF(COUNTIFS('Consistency Check'!$A$5:$A$99,A59,'Consistency Check'!$D$5:$D$99,"No")&gt;0,"Consistency Check (agreed label changed)",IF(COUNTIF('Consistency Check'!$A$5:$A$99,A59)&gt;0,"Consistency Check (agreed label confirmed)","Agreed label")))</f>
        <v>Agreed label</v>
      </c>
      <c r="F59" s="14" t="str">
        <f t="shared" si="2"/>
        <v/>
      </c>
      <c r="G59" s="14" t="str">
        <f t="shared" si="3"/>
        <v/>
      </c>
    </row>
    <row r="60" spans="1:7" ht="15" customHeight="1" x14ac:dyDescent="0.25">
      <c r="A60" s="14">
        <v>8309</v>
      </c>
      <c r="B60" s="14" t="str">
        <f>INDEX('Labeler 1'!$C$2:$C$181,MATCH(A60,'Labeler 1'!$A$2:$A$181,0))</f>
        <v>Consumer loan</v>
      </c>
      <c r="C60" s="14" t="str">
        <f>INDEX('Labeler 2'!$C$2:$C$181,MATCH(A60,'Labeler 2'!$A$2:$A$181,0))</f>
        <v>Consumer loan</v>
      </c>
      <c r="D60" s="16" t="str">
        <f>IF(COUNTIF('Resolution Log'!$A$5:$A$24,A60)&gt;0,INDEX('Resolution Log'!$G$5:$G$24,MATCH(A60,'Resolution Log'!$A$5:$A$24,0)),IF(COUNTIFS('Consistency Check'!$A$5:$A$99,A60,'Consistency Check'!$D$5:$D$99,"No")&gt;0,INDEX('Consistency Check'!$E$5:$E$99,MATCH(A60,'Consistency Check'!$A$5:$A$99,0)),C60))</f>
        <v>Consumer loan</v>
      </c>
      <c r="E60" s="14" t="str">
        <f>IF(COUNTIF('Resolution Log'!$A$5:$A$24,A60)&gt;0,"Resolution Log (disagreement)",IF(COUNTIFS('Consistency Check'!$A$5:$A$99,A60,'Consistency Check'!$D$5:$D$99,"No")&gt;0,"Consistency Check (agreed label changed)",IF(COUNTIF('Consistency Check'!$A$5:$A$99,A60)&gt;0,"Consistency Check (agreed label confirmed)","Agreed label")))</f>
        <v>Agreed label</v>
      </c>
      <c r="F60" s="14" t="str">
        <f t="shared" si="2"/>
        <v/>
      </c>
      <c r="G60" s="14" t="str">
        <f t="shared" si="3"/>
        <v/>
      </c>
    </row>
    <row r="61" spans="1:7" ht="15" customHeight="1" x14ac:dyDescent="0.25">
      <c r="A61" s="14">
        <v>8310</v>
      </c>
      <c r="B61" s="14" t="str">
        <f>INDEX('Labeler 1'!$C$2:$C$181,MATCH(A61,'Labeler 1'!$A$2:$A$181,0))</f>
        <v>Credit card</v>
      </c>
      <c r="C61" s="14" t="str">
        <f>INDEX('Labeler 2'!$C$2:$C$181,MATCH(A61,'Labeler 2'!$A$2:$A$181,0))</f>
        <v>Credit card</v>
      </c>
      <c r="D61" s="16" t="str">
        <f>IF(COUNTIF('Resolution Log'!$A$5:$A$24,A61)&gt;0,INDEX('Resolution Log'!$G$5:$G$24,MATCH(A61,'Resolution Log'!$A$5:$A$24,0)),IF(COUNTIFS('Consistency Check'!$A$5:$A$99,A61,'Consistency Check'!$D$5:$D$99,"No")&gt;0,INDEX('Consistency Check'!$E$5:$E$99,MATCH(A61,'Consistency Check'!$A$5:$A$99,0)),C61))</f>
        <v>Credit card</v>
      </c>
      <c r="E61" s="14" t="str">
        <f>IF(COUNTIF('Resolution Log'!$A$5:$A$24,A61)&gt;0,"Resolution Log (disagreement)",IF(COUNTIFS('Consistency Check'!$A$5:$A$99,A61,'Consistency Check'!$D$5:$D$99,"No")&gt;0,"Consistency Check (agreed label changed)",IF(COUNTIF('Consistency Check'!$A$5:$A$99,A61)&gt;0,"Consistency Check (agreed label confirmed)","Agreed label")))</f>
        <v>Agreed label</v>
      </c>
      <c r="F61" s="14" t="str">
        <f t="shared" si="2"/>
        <v/>
      </c>
      <c r="G61" s="14" t="str">
        <f t="shared" si="3"/>
        <v/>
      </c>
    </row>
    <row r="62" spans="1:7" ht="15" customHeight="1" x14ac:dyDescent="0.25">
      <c r="A62" s="14">
        <v>8323</v>
      </c>
      <c r="B62" s="14" t="str">
        <f>INDEX('Labeler 1'!$C$2:$C$181,MATCH(A62,'Labeler 1'!$A$2:$A$181,0))</f>
        <v>Consumer loan</v>
      </c>
      <c r="C62" s="14" t="str">
        <f>INDEX('Labeler 2'!$C$2:$C$181,MATCH(A62,'Labeler 2'!$A$2:$A$181,0))</f>
        <v>Credit card</v>
      </c>
      <c r="D62" s="16" t="str">
        <f>IF(COUNTIF('Resolution Log'!$A$5:$A$24,A62)&gt;0,INDEX('Resolution Log'!$G$5:$G$24,MATCH(A62,'Resolution Log'!$A$5:$A$24,0)),IF(COUNTIFS('Consistency Check'!$A$5:$A$99,A62,'Consistency Check'!$D$5:$D$99,"No")&gt;0,INDEX('Consistency Check'!$E$5:$E$99,MATCH(A62,'Consistency Check'!$A$5:$A$99,0)),C62))</f>
        <v>Credit card</v>
      </c>
      <c r="E62" s="14" t="str">
        <f>IF(COUNTIF('Resolution Log'!$A$5:$A$24,A62)&gt;0,"Resolution Log (disagreement)",IF(COUNTIFS('Consistency Check'!$A$5:$A$99,A62,'Consistency Check'!$D$5:$D$99,"No")&gt;0,"Consistency Check (agreed label changed)",IF(COUNTIF('Consistency Check'!$A$5:$A$99,A62)&gt;0,"Consistency Check (agreed label confirmed)","Agreed label")))</f>
        <v>Resolution Log (disagreement)</v>
      </c>
      <c r="F62" s="14" t="str">
        <f t="shared" si="2"/>
        <v>Yes</v>
      </c>
      <c r="G62" s="14" t="str">
        <f t="shared" si="3"/>
        <v/>
      </c>
    </row>
    <row r="63" spans="1:7" ht="15" customHeight="1" x14ac:dyDescent="0.25">
      <c r="A63" s="14">
        <v>8326</v>
      </c>
      <c r="B63" s="14" t="str">
        <f>INDEX('Labeler 1'!$C$2:$C$181,MATCH(A63,'Labeler 1'!$A$2:$A$181,0))</f>
        <v>Credit reporting</v>
      </c>
      <c r="C63" s="14" t="str">
        <f>INDEX('Labeler 2'!$C$2:$C$181,MATCH(A63,'Labeler 2'!$A$2:$A$181,0))</f>
        <v>Credit reporting</v>
      </c>
      <c r="D63" s="16" t="str">
        <f>IF(COUNTIF('Resolution Log'!$A$5:$A$24,A63)&gt;0,INDEX('Resolution Log'!$G$5:$G$24,MATCH(A63,'Resolution Log'!$A$5:$A$24,0)),IF(COUNTIFS('Consistency Check'!$A$5:$A$99,A63,'Consistency Check'!$D$5:$D$99,"No")&gt;0,INDEX('Consistency Check'!$E$5:$E$99,MATCH(A63,'Consistency Check'!$A$5:$A$99,0)),C63))</f>
        <v>Credit reporting</v>
      </c>
      <c r="E63" s="14" t="str">
        <f>IF(COUNTIF('Resolution Log'!$A$5:$A$24,A63)&gt;0,"Resolution Log (disagreement)",IF(COUNTIFS('Consistency Check'!$A$5:$A$99,A63,'Consistency Check'!$D$5:$D$99,"No")&gt;0,"Consistency Check (agreed label changed)",IF(COUNTIF('Consistency Check'!$A$5:$A$99,A63)&gt;0,"Consistency Check (agreed label confirmed)","Agreed label")))</f>
        <v>Consistency Check (agreed label confirmed)</v>
      </c>
      <c r="F63" s="14" t="str">
        <f t="shared" si="2"/>
        <v/>
      </c>
      <c r="G63" s="14" t="str">
        <f t="shared" si="3"/>
        <v/>
      </c>
    </row>
    <row r="64" spans="1:7" ht="15" customHeight="1" x14ac:dyDescent="0.25">
      <c r="A64" s="14">
        <v>8333</v>
      </c>
      <c r="B64" s="14" t="str">
        <f>INDEX('Labeler 1'!$C$2:$C$181,MATCH(A64,'Labeler 1'!$A$2:$A$181,0))</f>
        <v>Consumer loan</v>
      </c>
      <c r="C64" s="14" t="str">
        <f>INDEX('Labeler 2'!$C$2:$C$181,MATCH(A64,'Labeler 2'!$A$2:$A$181,0))</f>
        <v>Mortgage</v>
      </c>
      <c r="D64" s="16" t="str">
        <f>IF(COUNTIF('Resolution Log'!$A$5:$A$24,A64)&gt;0,INDEX('Resolution Log'!$G$5:$G$24,MATCH(A64,'Resolution Log'!$A$5:$A$24,0)),IF(COUNTIFS('Consistency Check'!$A$5:$A$99,A64,'Consistency Check'!$D$5:$D$99,"No")&gt;0,INDEX('Consistency Check'!$E$5:$E$99,MATCH(A64,'Consistency Check'!$A$5:$A$99,0)),C64))</f>
        <v>Consumer loan</v>
      </c>
      <c r="E64" s="14" t="str">
        <f>IF(COUNTIF('Resolution Log'!$A$5:$A$24,A64)&gt;0,"Resolution Log (disagreement)",IF(COUNTIFS('Consistency Check'!$A$5:$A$99,A64,'Consistency Check'!$D$5:$D$99,"No")&gt;0,"Consistency Check (agreed label changed)",IF(COUNTIF('Consistency Check'!$A$5:$A$99,A64)&gt;0,"Consistency Check (agreed label confirmed)","Agreed label")))</f>
        <v>Resolution Log (disagreement)</v>
      </c>
      <c r="F64" s="14" t="str">
        <f t="shared" si="2"/>
        <v/>
      </c>
      <c r="G64" s="14" t="str">
        <f t="shared" si="3"/>
        <v>Yes</v>
      </c>
    </row>
    <row r="65" spans="1:7" ht="15" customHeight="1" x14ac:dyDescent="0.25">
      <c r="A65" s="14">
        <v>8335</v>
      </c>
      <c r="B65" s="14" t="str">
        <f>INDEX('Labeler 1'!$C$2:$C$181,MATCH(A65,'Labeler 1'!$A$2:$A$181,0))</f>
        <v>Money transfer or service</v>
      </c>
      <c r="C65" s="14" t="str">
        <f>INDEX('Labeler 2'!$C$2:$C$181,MATCH(A65,'Labeler 2'!$A$2:$A$181,0))</f>
        <v>Bank account or service</v>
      </c>
      <c r="D65" s="16" t="str">
        <f>IF(COUNTIF('Resolution Log'!$A$5:$A$24,A65)&gt;0,INDEX('Resolution Log'!$G$5:$G$24,MATCH(A65,'Resolution Log'!$A$5:$A$24,0)),IF(COUNTIFS('Consistency Check'!$A$5:$A$99,A65,'Consistency Check'!$D$5:$D$99,"No")&gt;0,INDEX('Consistency Check'!$E$5:$E$99,MATCH(A65,'Consistency Check'!$A$5:$A$99,0)),C65))</f>
        <v>Bank account or service</v>
      </c>
      <c r="E65" s="14" t="str">
        <f>IF(COUNTIF('Resolution Log'!$A$5:$A$24,A65)&gt;0,"Resolution Log (disagreement)",IF(COUNTIFS('Consistency Check'!$A$5:$A$99,A65,'Consistency Check'!$D$5:$D$99,"No")&gt;0,"Consistency Check (agreed label changed)",IF(COUNTIF('Consistency Check'!$A$5:$A$99,A65)&gt;0,"Consistency Check (agreed label confirmed)","Agreed label")))</f>
        <v>Resolution Log (disagreement)</v>
      </c>
      <c r="F65" s="14" t="str">
        <f t="shared" si="2"/>
        <v>Yes</v>
      </c>
      <c r="G65" s="14" t="str">
        <f t="shared" si="3"/>
        <v/>
      </c>
    </row>
    <row r="66" spans="1:7" ht="15" customHeight="1" x14ac:dyDescent="0.25">
      <c r="A66" s="14">
        <v>8337</v>
      </c>
      <c r="B66" s="14" t="str">
        <f>INDEX('Labeler 1'!$C$2:$C$181,MATCH(A66,'Labeler 1'!$A$2:$A$181,0))</f>
        <v>Debt collection</v>
      </c>
      <c r="C66" s="14" t="str">
        <f>INDEX('Labeler 2'!$C$2:$C$181,MATCH(A66,'Labeler 2'!$A$2:$A$181,0))</f>
        <v>Debt collection</v>
      </c>
      <c r="D66" s="16" t="str">
        <f>IF(COUNTIF('Resolution Log'!$A$5:$A$24,A66)&gt;0,INDEX('Resolution Log'!$G$5:$G$24,MATCH(A66,'Resolution Log'!$A$5:$A$24,0)),IF(COUNTIFS('Consistency Check'!$A$5:$A$99,A66,'Consistency Check'!$D$5:$D$99,"No")&gt;0,INDEX('Consistency Check'!$E$5:$E$99,MATCH(A66,'Consistency Check'!$A$5:$A$99,0)),C66))</f>
        <v>Debt collection</v>
      </c>
      <c r="E66" s="14" t="str">
        <f>IF(COUNTIF('Resolution Log'!$A$5:$A$24,A66)&gt;0,"Resolution Log (disagreement)",IF(COUNTIFS('Consistency Check'!$A$5:$A$99,A66,'Consistency Check'!$D$5:$D$99,"No")&gt;0,"Consistency Check (agreed label changed)",IF(COUNTIF('Consistency Check'!$A$5:$A$99,A66)&gt;0,"Consistency Check (agreed label confirmed)","Agreed label")))</f>
        <v>Agreed label</v>
      </c>
      <c r="F66" s="14" t="str">
        <f t="shared" si="2"/>
        <v/>
      </c>
      <c r="G66" s="14" t="str">
        <f t="shared" si="3"/>
        <v/>
      </c>
    </row>
    <row r="67" spans="1:7" ht="15" customHeight="1" x14ac:dyDescent="0.25">
      <c r="A67" s="14">
        <v>8339</v>
      </c>
      <c r="B67" s="14" t="str">
        <f>INDEX('Labeler 1'!$C$2:$C$181,MATCH(A67,'Labeler 1'!$A$2:$A$181,0))</f>
        <v>Consumer loan</v>
      </c>
      <c r="C67" s="14" t="str">
        <f>INDEX('Labeler 2'!$C$2:$C$181,MATCH(A67,'Labeler 2'!$A$2:$A$181,0))</f>
        <v>Credit reporting</v>
      </c>
      <c r="D67" s="16" t="str">
        <f>IF(COUNTIF('Resolution Log'!$A$5:$A$24,A67)&gt;0,INDEX('Resolution Log'!$G$5:$G$24,MATCH(A67,'Resolution Log'!$A$5:$A$24,0)),IF(COUNTIFS('Consistency Check'!$A$5:$A$99,A67,'Consistency Check'!$D$5:$D$99,"No")&gt;0,INDEX('Consistency Check'!$E$5:$E$99,MATCH(A67,'Consistency Check'!$A$5:$A$99,0)),C67))</f>
        <v>Consumer loan</v>
      </c>
      <c r="E67" s="14" t="str">
        <f>IF(COUNTIF('Resolution Log'!$A$5:$A$24,A67)&gt;0,"Resolution Log (disagreement)",IF(COUNTIFS('Consistency Check'!$A$5:$A$99,A67,'Consistency Check'!$D$5:$D$99,"No")&gt;0,"Consistency Check (agreed label changed)",IF(COUNTIF('Consistency Check'!$A$5:$A$99,A67)&gt;0,"Consistency Check (agreed label confirmed)","Agreed label")))</f>
        <v>Resolution Log (disagreement)</v>
      </c>
      <c r="F67" s="14" t="str">
        <f t="shared" si="2"/>
        <v/>
      </c>
      <c r="G67" s="14" t="str">
        <f t="shared" si="3"/>
        <v>Yes</v>
      </c>
    </row>
    <row r="68" spans="1:7" ht="15" customHeight="1" x14ac:dyDescent="0.25">
      <c r="A68" s="14">
        <v>8342</v>
      </c>
      <c r="B68" s="14" t="str">
        <f>INDEX('Labeler 1'!$C$2:$C$181,MATCH(A68,'Labeler 1'!$A$2:$A$181,0))</f>
        <v>Money transfer or service</v>
      </c>
      <c r="C68" s="14" t="str">
        <f>INDEX('Labeler 2'!$C$2:$C$181,MATCH(A68,'Labeler 2'!$A$2:$A$181,0))</f>
        <v>Bank account or service</v>
      </c>
      <c r="D68" s="16" t="str">
        <f>IF(COUNTIF('Resolution Log'!$A$5:$A$24,A68)&gt;0,INDEX('Resolution Log'!$G$5:$G$24,MATCH(A68,'Resolution Log'!$A$5:$A$24,0)),IF(COUNTIFS('Consistency Check'!$A$5:$A$99,A68,'Consistency Check'!$D$5:$D$99,"No")&gt;0,INDEX('Consistency Check'!$E$5:$E$99,MATCH(A68,'Consistency Check'!$A$5:$A$99,0)),C68))</f>
        <v>Bank account or service</v>
      </c>
      <c r="E68" s="14" t="str">
        <f>IF(COUNTIF('Resolution Log'!$A$5:$A$24,A68)&gt;0,"Resolution Log (disagreement)",IF(COUNTIFS('Consistency Check'!$A$5:$A$99,A68,'Consistency Check'!$D$5:$D$99,"No")&gt;0,"Consistency Check (agreed label changed)",IF(COUNTIF('Consistency Check'!$A$5:$A$99,A68)&gt;0,"Consistency Check (agreed label confirmed)","Agreed label")))</f>
        <v>Resolution Log (disagreement)</v>
      </c>
      <c r="F68" s="14" t="str">
        <f t="shared" si="2"/>
        <v>Yes</v>
      </c>
      <c r="G68" s="14" t="str">
        <f t="shared" si="3"/>
        <v/>
      </c>
    </row>
    <row r="69" spans="1:7" ht="15" customHeight="1" x14ac:dyDescent="0.25">
      <c r="A69" s="14">
        <v>8345</v>
      </c>
      <c r="B69" s="14" t="str">
        <f>INDEX('Labeler 1'!$C$2:$C$181,MATCH(A69,'Labeler 1'!$A$2:$A$181,0))</f>
        <v>Money transfer or service</v>
      </c>
      <c r="C69" s="14" t="str">
        <f>INDEX('Labeler 2'!$C$2:$C$181,MATCH(A69,'Labeler 2'!$A$2:$A$181,0))</f>
        <v>Bank account or service</v>
      </c>
      <c r="D69" s="16" t="str">
        <f>IF(COUNTIF('Resolution Log'!$A$5:$A$24,A69)&gt;0,INDEX('Resolution Log'!$G$5:$G$24,MATCH(A69,'Resolution Log'!$A$5:$A$24,0)),IF(COUNTIFS('Consistency Check'!$A$5:$A$99,A69,'Consistency Check'!$D$5:$D$99,"No")&gt;0,INDEX('Consistency Check'!$E$5:$E$99,MATCH(A69,'Consistency Check'!$A$5:$A$99,0)),C69))</f>
        <v>Money transfer or service</v>
      </c>
      <c r="E69" s="14" t="str">
        <f>IF(COUNTIF('Resolution Log'!$A$5:$A$24,A69)&gt;0,"Resolution Log (disagreement)",IF(COUNTIFS('Consistency Check'!$A$5:$A$99,A69,'Consistency Check'!$D$5:$D$99,"No")&gt;0,"Consistency Check (agreed label changed)",IF(COUNTIF('Consistency Check'!$A$5:$A$99,A69)&gt;0,"Consistency Check (agreed label confirmed)","Agreed label")))</f>
        <v>Resolution Log (disagreement)</v>
      </c>
      <c r="F69" s="14" t="str">
        <f t="shared" ref="F69:F100" si="4">IF(D69&lt;&gt;B69,"Yes","")</f>
        <v/>
      </c>
      <c r="G69" s="14" t="str">
        <f t="shared" ref="G69:G100" si="5">IF(D69&lt;&gt;C69,"Yes","")</f>
        <v>Yes</v>
      </c>
    </row>
    <row r="70" spans="1:7" ht="15" customHeight="1" x14ac:dyDescent="0.25">
      <c r="A70" s="14">
        <v>8356</v>
      </c>
      <c r="B70" s="14" t="str">
        <f>INDEX('Labeler 1'!$C$2:$C$181,MATCH(A70,'Labeler 1'!$A$2:$A$181,0))</f>
        <v>Mortgage</v>
      </c>
      <c r="C70" s="14" t="str">
        <f>INDEX('Labeler 2'!$C$2:$C$181,MATCH(A70,'Labeler 2'!$A$2:$A$181,0))</f>
        <v>Mortgage</v>
      </c>
      <c r="D70" s="16" t="str">
        <f>IF(COUNTIF('Resolution Log'!$A$5:$A$24,A70)&gt;0,INDEX('Resolution Log'!$G$5:$G$24,MATCH(A70,'Resolution Log'!$A$5:$A$24,0)),IF(COUNTIFS('Consistency Check'!$A$5:$A$99,A70,'Consistency Check'!$D$5:$D$99,"No")&gt;0,INDEX('Consistency Check'!$E$5:$E$99,MATCH(A70,'Consistency Check'!$A$5:$A$99,0)),C70))</f>
        <v>Mortgage</v>
      </c>
      <c r="E70" s="14" t="str">
        <f>IF(COUNTIF('Resolution Log'!$A$5:$A$24,A70)&gt;0,"Resolution Log (disagreement)",IF(COUNTIFS('Consistency Check'!$A$5:$A$99,A70,'Consistency Check'!$D$5:$D$99,"No")&gt;0,"Consistency Check (agreed label changed)",IF(COUNTIF('Consistency Check'!$A$5:$A$99,A70)&gt;0,"Consistency Check (agreed label confirmed)","Agreed label")))</f>
        <v>Agreed label</v>
      </c>
      <c r="F70" s="14" t="str">
        <f t="shared" si="4"/>
        <v/>
      </c>
      <c r="G70" s="14" t="str">
        <f t="shared" si="5"/>
        <v/>
      </c>
    </row>
    <row r="71" spans="1:7" ht="15" customHeight="1" x14ac:dyDescent="0.25">
      <c r="A71" s="14">
        <v>8359</v>
      </c>
      <c r="B71" s="14" t="str">
        <f>INDEX('Labeler 1'!$C$2:$C$181,MATCH(A71,'Labeler 1'!$A$2:$A$181,0))</f>
        <v>Consumer loan</v>
      </c>
      <c r="C71" s="14" t="str">
        <f>INDEX('Labeler 2'!$C$2:$C$181,MATCH(A71,'Labeler 2'!$A$2:$A$181,0))</f>
        <v>Consumer loan</v>
      </c>
      <c r="D71" s="16" t="str">
        <f>IF(COUNTIF('Resolution Log'!$A$5:$A$24,A71)&gt;0,INDEX('Resolution Log'!$G$5:$G$24,MATCH(A71,'Resolution Log'!$A$5:$A$24,0)),IF(COUNTIFS('Consistency Check'!$A$5:$A$99,A71,'Consistency Check'!$D$5:$D$99,"No")&gt;0,INDEX('Consistency Check'!$E$5:$E$99,MATCH(A71,'Consistency Check'!$A$5:$A$99,0)),C71))</f>
        <v>Consumer loan</v>
      </c>
      <c r="E71" s="14" t="str">
        <f>IF(COUNTIF('Resolution Log'!$A$5:$A$24,A71)&gt;0,"Resolution Log (disagreement)",IF(COUNTIFS('Consistency Check'!$A$5:$A$99,A71,'Consistency Check'!$D$5:$D$99,"No")&gt;0,"Consistency Check (agreed label changed)",IF(COUNTIF('Consistency Check'!$A$5:$A$99,A71)&gt;0,"Consistency Check (agreed label confirmed)","Agreed label")))</f>
        <v>Consistency Check (agreed label confirmed)</v>
      </c>
      <c r="F71" s="14" t="str">
        <f t="shared" si="4"/>
        <v/>
      </c>
      <c r="G71" s="14" t="str">
        <f t="shared" si="5"/>
        <v/>
      </c>
    </row>
    <row r="72" spans="1:7" ht="15" customHeight="1" x14ac:dyDescent="0.25">
      <c r="A72" s="14">
        <v>8365</v>
      </c>
      <c r="B72" s="14" t="str">
        <f>INDEX('Labeler 1'!$C$2:$C$181,MATCH(A72,'Labeler 1'!$A$2:$A$181,0))</f>
        <v>Credit reporting</v>
      </c>
      <c r="C72" s="14" t="str">
        <f>INDEX('Labeler 2'!$C$2:$C$181,MATCH(A72,'Labeler 2'!$A$2:$A$181,0))</f>
        <v>Credit reporting</v>
      </c>
      <c r="D72" s="16" t="str">
        <f>IF(COUNTIF('Resolution Log'!$A$5:$A$24,A72)&gt;0,INDEX('Resolution Log'!$G$5:$G$24,MATCH(A72,'Resolution Log'!$A$5:$A$24,0)),IF(COUNTIFS('Consistency Check'!$A$5:$A$99,A72,'Consistency Check'!$D$5:$D$99,"No")&gt;0,INDEX('Consistency Check'!$E$5:$E$99,MATCH(A72,'Consistency Check'!$A$5:$A$99,0)),C72))</f>
        <v>Credit reporting</v>
      </c>
      <c r="E72" s="14" t="str">
        <f>IF(COUNTIF('Resolution Log'!$A$5:$A$24,A72)&gt;0,"Resolution Log (disagreement)",IF(COUNTIFS('Consistency Check'!$A$5:$A$99,A72,'Consistency Check'!$D$5:$D$99,"No")&gt;0,"Consistency Check (agreed label changed)",IF(COUNTIF('Consistency Check'!$A$5:$A$99,A72)&gt;0,"Consistency Check (agreed label confirmed)","Agreed label")))</f>
        <v>Agreed label</v>
      </c>
      <c r="F72" s="14" t="str">
        <f t="shared" si="4"/>
        <v/>
      </c>
      <c r="G72" s="14" t="str">
        <f t="shared" si="5"/>
        <v/>
      </c>
    </row>
    <row r="73" spans="1:7" ht="15" customHeight="1" x14ac:dyDescent="0.25">
      <c r="A73" s="14">
        <v>8366</v>
      </c>
      <c r="B73" s="14" t="str">
        <f>INDEX('Labeler 1'!$C$2:$C$181,MATCH(A73,'Labeler 1'!$A$2:$A$181,0))</f>
        <v>Credit card</v>
      </c>
      <c r="C73" s="14" t="str">
        <f>INDEX('Labeler 2'!$C$2:$C$181,MATCH(A73,'Labeler 2'!$A$2:$A$181,0))</f>
        <v>Credit card</v>
      </c>
      <c r="D73" s="16" t="str">
        <f>IF(COUNTIF('Resolution Log'!$A$5:$A$24,A73)&gt;0,INDEX('Resolution Log'!$G$5:$G$24,MATCH(A73,'Resolution Log'!$A$5:$A$24,0)),IF(COUNTIFS('Consistency Check'!$A$5:$A$99,A73,'Consistency Check'!$D$5:$D$99,"No")&gt;0,INDEX('Consistency Check'!$E$5:$E$99,MATCH(A73,'Consistency Check'!$A$5:$A$99,0)),C73))</f>
        <v>Credit card</v>
      </c>
      <c r="E73" s="14" t="str">
        <f>IF(COUNTIF('Resolution Log'!$A$5:$A$24,A73)&gt;0,"Resolution Log (disagreement)",IF(COUNTIFS('Consistency Check'!$A$5:$A$99,A73,'Consistency Check'!$D$5:$D$99,"No")&gt;0,"Consistency Check (agreed label changed)",IF(COUNTIF('Consistency Check'!$A$5:$A$99,A73)&gt;0,"Consistency Check (agreed label confirmed)","Agreed label")))</f>
        <v>Agreed label</v>
      </c>
      <c r="F73" s="14" t="str">
        <f t="shared" si="4"/>
        <v/>
      </c>
      <c r="G73" s="14" t="str">
        <f t="shared" si="5"/>
        <v/>
      </c>
    </row>
    <row r="74" spans="1:7" ht="15" customHeight="1" x14ac:dyDescent="0.25">
      <c r="A74" s="14">
        <v>8369</v>
      </c>
      <c r="B74" s="14" t="str">
        <f>INDEX('Labeler 1'!$C$2:$C$181,MATCH(A74,'Labeler 1'!$A$2:$A$181,0))</f>
        <v>Credit card</v>
      </c>
      <c r="C74" s="14" t="str">
        <f>INDEX('Labeler 2'!$C$2:$C$181,MATCH(A74,'Labeler 2'!$A$2:$A$181,0))</f>
        <v>Credit card</v>
      </c>
      <c r="D74" s="16" t="str">
        <f>IF(COUNTIF('Resolution Log'!$A$5:$A$24,A74)&gt;0,INDEX('Resolution Log'!$G$5:$G$24,MATCH(A74,'Resolution Log'!$A$5:$A$24,0)),IF(COUNTIFS('Consistency Check'!$A$5:$A$99,A74,'Consistency Check'!$D$5:$D$99,"No")&gt;0,INDEX('Consistency Check'!$E$5:$E$99,MATCH(A74,'Consistency Check'!$A$5:$A$99,0)),C74))</f>
        <v>Credit card</v>
      </c>
      <c r="E74" s="14" t="str">
        <f>IF(COUNTIF('Resolution Log'!$A$5:$A$24,A74)&gt;0,"Resolution Log (disagreement)",IF(COUNTIFS('Consistency Check'!$A$5:$A$99,A74,'Consistency Check'!$D$5:$D$99,"No")&gt;0,"Consistency Check (agreed label changed)",IF(COUNTIF('Consistency Check'!$A$5:$A$99,A74)&gt;0,"Consistency Check (agreed label confirmed)","Agreed label")))</f>
        <v>Agreed label</v>
      </c>
      <c r="F74" s="14" t="str">
        <f t="shared" si="4"/>
        <v/>
      </c>
      <c r="G74" s="14" t="str">
        <f t="shared" si="5"/>
        <v/>
      </c>
    </row>
    <row r="75" spans="1:7" ht="15" customHeight="1" x14ac:dyDescent="0.25">
      <c r="A75" s="14">
        <v>8372</v>
      </c>
      <c r="B75" s="14" t="str">
        <f>INDEX('Labeler 1'!$C$2:$C$181,MATCH(A75,'Labeler 1'!$A$2:$A$181,0))</f>
        <v>Bank account or service</v>
      </c>
      <c r="C75" s="14" t="str">
        <f>INDEX('Labeler 2'!$C$2:$C$181,MATCH(A75,'Labeler 2'!$A$2:$A$181,0))</f>
        <v>Bank account or service</v>
      </c>
      <c r="D75" s="16" t="str">
        <f>IF(COUNTIF('Resolution Log'!$A$5:$A$24,A75)&gt;0,INDEX('Resolution Log'!$G$5:$G$24,MATCH(A75,'Resolution Log'!$A$5:$A$24,0)),IF(COUNTIFS('Consistency Check'!$A$5:$A$99,A75,'Consistency Check'!$D$5:$D$99,"No")&gt;0,INDEX('Consistency Check'!$E$5:$E$99,MATCH(A75,'Consistency Check'!$A$5:$A$99,0)),C75))</f>
        <v>Bank account or service</v>
      </c>
      <c r="E75" s="14" t="str">
        <f>IF(COUNTIF('Resolution Log'!$A$5:$A$24,A75)&gt;0,"Resolution Log (disagreement)",IF(COUNTIFS('Consistency Check'!$A$5:$A$99,A75,'Consistency Check'!$D$5:$D$99,"No")&gt;0,"Consistency Check (agreed label changed)",IF(COUNTIF('Consistency Check'!$A$5:$A$99,A75)&gt;0,"Consistency Check (agreed label confirmed)","Agreed label")))</f>
        <v>Consistency Check (agreed label confirmed)</v>
      </c>
      <c r="F75" s="14" t="str">
        <f t="shared" si="4"/>
        <v/>
      </c>
      <c r="G75" s="14" t="str">
        <f t="shared" si="5"/>
        <v/>
      </c>
    </row>
    <row r="76" spans="1:7" ht="15" customHeight="1" x14ac:dyDescent="0.25">
      <c r="A76" s="14">
        <v>8379</v>
      </c>
      <c r="B76" s="14" t="str">
        <f>INDEX('Labeler 1'!$C$2:$C$181,MATCH(A76,'Labeler 1'!$A$2:$A$181,0))</f>
        <v>Credit card</v>
      </c>
      <c r="C76" s="14" t="str">
        <f>INDEX('Labeler 2'!$C$2:$C$181,MATCH(A76,'Labeler 2'!$A$2:$A$181,0))</f>
        <v>Credit card</v>
      </c>
      <c r="D76" s="16" t="str">
        <f>IF(COUNTIF('Resolution Log'!$A$5:$A$24,A76)&gt;0,INDEX('Resolution Log'!$G$5:$G$24,MATCH(A76,'Resolution Log'!$A$5:$A$24,0)),IF(COUNTIFS('Consistency Check'!$A$5:$A$99,A76,'Consistency Check'!$D$5:$D$99,"No")&gt;0,INDEX('Consistency Check'!$E$5:$E$99,MATCH(A76,'Consistency Check'!$A$5:$A$99,0)),C76))</f>
        <v>Credit card</v>
      </c>
      <c r="E76" s="14" t="str">
        <f>IF(COUNTIF('Resolution Log'!$A$5:$A$24,A76)&gt;0,"Resolution Log (disagreement)",IF(COUNTIFS('Consistency Check'!$A$5:$A$99,A76,'Consistency Check'!$D$5:$D$99,"No")&gt;0,"Consistency Check (agreed label changed)",IF(COUNTIF('Consistency Check'!$A$5:$A$99,A76)&gt;0,"Consistency Check (agreed label confirmed)","Agreed label")))</f>
        <v>Consistency Check (agreed label confirmed)</v>
      </c>
      <c r="F76" s="14" t="str">
        <f t="shared" si="4"/>
        <v/>
      </c>
      <c r="G76" s="14" t="str">
        <f t="shared" si="5"/>
        <v/>
      </c>
    </row>
    <row r="77" spans="1:7" ht="15" customHeight="1" x14ac:dyDescent="0.25">
      <c r="A77" s="14">
        <v>8382</v>
      </c>
      <c r="B77" s="14" t="str">
        <f>INDEX('Labeler 1'!$C$2:$C$181,MATCH(A77,'Labeler 1'!$A$2:$A$181,0))</f>
        <v>Debt collection</v>
      </c>
      <c r="C77" s="14" t="str">
        <f>INDEX('Labeler 2'!$C$2:$C$181,MATCH(A77,'Labeler 2'!$A$2:$A$181,0))</f>
        <v>Debt collection</v>
      </c>
      <c r="D77" s="16" t="str">
        <f>IF(COUNTIF('Resolution Log'!$A$5:$A$24,A77)&gt;0,INDEX('Resolution Log'!$G$5:$G$24,MATCH(A77,'Resolution Log'!$A$5:$A$24,0)),IF(COUNTIFS('Consistency Check'!$A$5:$A$99,A77,'Consistency Check'!$D$5:$D$99,"No")&gt;0,INDEX('Consistency Check'!$E$5:$E$99,MATCH(A77,'Consistency Check'!$A$5:$A$99,0)),C77))</f>
        <v>Debt collection</v>
      </c>
      <c r="E77" s="14" t="str">
        <f>IF(COUNTIF('Resolution Log'!$A$5:$A$24,A77)&gt;0,"Resolution Log (disagreement)",IF(COUNTIFS('Consistency Check'!$A$5:$A$99,A77,'Consistency Check'!$D$5:$D$99,"No")&gt;0,"Consistency Check (agreed label changed)",IF(COUNTIF('Consistency Check'!$A$5:$A$99,A77)&gt;0,"Consistency Check (agreed label confirmed)","Agreed label")))</f>
        <v>Consistency Check (agreed label confirmed)</v>
      </c>
      <c r="F77" s="14" t="str">
        <f t="shared" si="4"/>
        <v/>
      </c>
      <c r="G77" s="14" t="str">
        <f t="shared" si="5"/>
        <v/>
      </c>
    </row>
    <row r="78" spans="1:7" ht="15" customHeight="1" x14ac:dyDescent="0.25">
      <c r="A78" s="14">
        <v>8383</v>
      </c>
      <c r="B78" s="14" t="str">
        <f>INDEX('Labeler 1'!$C$2:$C$181,MATCH(A78,'Labeler 1'!$A$2:$A$181,0))</f>
        <v>Mortgage</v>
      </c>
      <c r="C78" s="14" t="str">
        <f>INDEX('Labeler 2'!$C$2:$C$181,MATCH(A78,'Labeler 2'!$A$2:$A$181,0))</f>
        <v>Mortgage</v>
      </c>
      <c r="D78" s="16" t="str">
        <f>IF(COUNTIF('Resolution Log'!$A$5:$A$24,A78)&gt;0,INDEX('Resolution Log'!$G$5:$G$24,MATCH(A78,'Resolution Log'!$A$5:$A$24,0)),IF(COUNTIFS('Consistency Check'!$A$5:$A$99,A78,'Consistency Check'!$D$5:$D$99,"No")&gt;0,INDEX('Consistency Check'!$E$5:$E$99,MATCH(A78,'Consistency Check'!$A$5:$A$99,0)),C78))</f>
        <v>Mortgage</v>
      </c>
      <c r="E78" s="14" t="str">
        <f>IF(COUNTIF('Resolution Log'!$A$5:$A$24,A78)&gt;0,"Resolution Log (disagreement)",IF(COUNTIFS('Consistency Check'!$A$5:$A$99,A78,'Consistency Check'!$D$5:$D$99,"No")&gt;0,"Consistency Check (agreed label changed)",IF(COUNTIF('Consistency Check'!$A$5:$A$99,A78)&gt;0,"Consistency Check (agreed label confirmed)","Agreed label")))</f>
        <v>Agreed label</v>
      </c>
      <c r="F78" s="14" t="str">
        <f t="shared" si="4"/>
        <v/>
      </c>
      <c r="G78" s="14" t="str">
        <f t="shared" si="5"/>
        <v/>
      </c>
    </row>
    <row r="79" spans="1:7" ht="15" customHeight="1" x14ac:dyDescent="0.25">
      <c r="A79" s="14">
        <v>8384</v>
      </c>
      <c r="B79" s="14" t="str">
        <f>INDEX('Labeler 1'!$C$2:$C$181,MATCH(A79,'Labeler 1'!$A$2:$A$181,0))</f>
        <v>Credit reporting</v>
      </c>
      <c r="C79" s="14" t="str">
        <f>INDEX('Labeler 2'!$C$2:$C$181,MATCH(A79,'Labeler 2'!$A$2:$A$181,0))</f>
        <v>Credit reporting</v>
      </c>
      <c r="D79" s="16" t="str">
        <f>IF(COUNTIF('Resolution Log'!$A$5:$A$24,A79)&gt;0,INDEX('Resolution Log'!$G$5:$G$24,MATCH(A79,'Resolution Log'!$A$5:$A$24,0)),IF(COUNTIFS('Consistency Check'!$A$5:$A$99,A79,'Consistency Check'!$D$5:$D$99,"No")&gt;0,INDEX('Consistency Check'!$E$5:$E$99,MATCH(A79,'Consistency Check'!$A$5:$A$99,0)),C79))</f>
        <v>Credit reporting</v>
      </c>
      <c r="E79" s="14" t="str">
        <f>IF(COUNTIF('Resolution Log'!$A$5:$A$24,A79)&gt;0,"Resolution Log (disagreement)",IF(COUNTIFS('Consistency Check'!$A$5:$A$99,A79,'Consistency Check'!$D$5:$D$99,"No")&gt;0,"Consistency Check (agreed label changed)",IF(COUNTIF('Consistency Check'!$A$5:$A$99,A79)&gt;0,"Consistency Check (agreed label confirmed)","Agreed label")))</f>
        <v>Consistency Check (agreed label confirmed)</v>
      </c>
      <c r="F79" s="14" t="str">
        <f t="shared" si="4"/>
        <v/>
      </c>
      <c r="G79" s="14" t="str">
        <f t="shared" si="5"/>
        <v/>
      </c>
    </row>
    <row r="80" spans="1:7" ht="15" customHeight="1" x14ac:dyDescent="0.25">
      <c r="A80" s="14">
        <v>8389</v>
      </c>
      <c r="B80" s="14" t="str">
        <f>INDEX('Labeler 1'!$C$2:$C$181,MATCH(A80,'Labeler 1'!$A$2:$A$181,0))</f>
        <v>Credit reporting</v>
      </c>
      <c r="C80" s="14" t="str">
        <f>INDEX('Labeler 2'!$C$2:$C$181,MATCH(A80,'Labeler 2'!$A$2:$A$181,0))</f>
        <v>Credit reporting</v>
      </c>
      <c r="D80" s="16" t="str">
        <f>IF(COUNTIF('Resolution Log'!$A$5:$A$24,A80)&gt;0,INDEX('Resolution Log'!$G$5:$G$24,MATCH(A80,'Resolution Log'!$A$5:$A$24,0)),IF(COUNTIFS('Consistency Check'!$A$5:$A$99,A80,'Consistency Check'!$D$5:$D$99,"No")&gt;0,INDEX('Consistency Check'!$E$5:$E$99,MATCH(A80,'Consistency Check'!$A$5:$A$99,0)),C80))</f>
        <v>Credit reporting</v>
      </c>
      <c r="E80" s="14" t="str">
        <f>IF(COUNTIF('Resolution Log'!$A$5:$A$24,A80)&gt;0,"Resolution Log (disagreement)",IF(COUNTIFS('Consistency Check'!$A$5:$A$99,A80,'Consistency Check'!$D$5:$D$99,"No")&gt;0,"Consistency Check (agreed label changed)",IF(COUNTIF('Consistency Check'!$A$5:$A$99,A80)&gt;0,"Consistency Check (agreed label confirmed)","Agreed label")))</f>
        <v>Agreed label</v>
      </c>
      <c r="F80" s="14" t="str">
        <f t="shared" si="4"/>
        <v/>
      </c>
      <c r="G80" s="14" t="str">
        <f t="shared" si="5"/>
        <v/>
      </c>
    </row>
    <row r="81" spans="1:7" ht="15" customHeight="1" x14ac:dyDescent="0.25">
      <c r="A81" s="14">
        <v>8390</v>
      </c>
      <c r="B81" s="14" t="str">
        <f>INDEX('Labeler 1'!$C$2:$C$181,MATCH(A81,'Labeler 1'!$A$2:$A$181,0))</f>
        <v>Credit card</v>
      </c>
      <c r="C81" s="14" t="str">
        <f>INDEX('Labeler 2'!$C$2:$C$181,MATCH(A81,'Labeler 2'!$A$2:$A$181,0))</f>
        <v>Credit card</v>
      </c>
      <c r="D81" s="16" t="str">
        <f>IF(COUNTIF('Resolution Log'!$A$5:$A$24,A81)&gt;0,INDEX('Resolution Log'!$G$5:$G$24,MATCH(A81,'Resolution Log'!$A$5:$A$24,0)),IF(COUNTIFS('Consistency Check'!$A$5:$A$99,A81,'Consistency Check'!$D$5:$D$99,"No")&gt;0,INDEX('Consistency Check'!$E$5:$E$99,MATCH(A81,'Consistency Check'!$A$5:$A$99,0)),C81))</f>
        <v>Credit card</v>
      </c>
      <c r="E81" s="14" t="str">
        <f>IF(COUNTIF('Resolution Log'!$A$5:$A$24,A81)&gt;0,"Resolution Log (disagreement)",IF(COUNTIFS('Consistency Check'!$A$5:$A$99,A81,'Consistency Check'!$D$5:$D$99,"No")&gt;0,"Consistency Check (agreed label changed)",IF(COUNTIF('Consistency Check'!$A$5:$A$99,A81)&gt;0,"Consistency Check (agreed label confirmed)","Agreed label")))</f>
        <v>Agreed label</v>
      </c>
      <c r="F81" s="14" t="str">
        <f t="shared" si="4"/>
        <v/>
      </c>
      <c r="G81" s="14" t="str">
        <f t="shared" si="5"/>
        <v/>
      </c>
    </row>
    <row r="82" spans="1:7" ht="15" customHeight="1" x14ac:dyDescent="0.25">
      <c r="A82" s="14">
        <v>8392</v>
      </c>
      <c r="B82" s="14" t="str">
        <f>INDEX('Labeler 1'!$C$2:$C$181,MATCH(A82,'Labeler 1'!$A$2:$A$181,0))</f>
        <v>Consumer loan</v>
      </c>
      <c r="C82" s="14" t="str">
        <f>INDEX('Labeler 2'!$C$2:$C$181,MATCH(A82,'Labeler 2'!$A$2:$A$181,0))</f>
        <v>Money transfer or service</v>
      </c>
      <c r="D82" s="16" t="str">
        <f>IF(COUNTIF('Resolution Log'!$A$5:$A$24,A82)&gt;0,INDEX('Resolution Log'!$G$5:$G$24,MATCH(A82,'Resolution Log'!$A$5:$A$24,0)),IF(COUNTIFS('Consistency Check'!$A$5:$A$99,A82,'Consistency Check'!$D$5:$D$99,"No")&gt;0,INDEX('Consistency Check'!$E$5:$E$99,MATCH(A82,'Consistency Check'!$A$5:$A$99,0)),C82))</f>
        <v>Money transfer or service</v>
      </c>
      <c r="E82" s="14" t="str">
        <f>IF(COUNTIF('Resolution Log'!$A$5:$A$24,A82)&gt;0,"Resolution Log (disagreement)",IF(COUNTIFS('Consistency Check'!$A$5:$A$99,A82,'Consistency Check'!$D$5:$D$99,"No")&gt;0,"Consistency Check (agreed label changed)",IF(COUNTIF('Consistency Check'!$A$5:$A$99,A82)&gt;0,"Consistency Check (agreed label confirmed)","Agreed label")))</f>
        <v>Resolution Log (disagreement)</v>
      </c>
      <c r="F82" s="14" t="str">
        <f t="shared" si="4"/>
        <v>Yes</v>
      </c>
      <c r="G82" s="14" t="str">
        <f t="shared" si="5"/>
        <v/>
      </c>
    </row>
    <row r="83" spans="1:7" ht="15" customHeight="1" x14ac:dyDescent="0.25">
      <c r="A83" s="14">
        <v>8414</v>
      </c>
      <c r="B83" s="14" t="str">
        <f>INDEX('Labeler 1'!$C$2:$C$181,MATCH(A83,'Labeler 1'!$A$2:$A$181,0))</f>
        <v>Debt collection</v>
      </c>
      <c r="C83" s="14" t="str">
        <f>INDEX('Labeler 2'!$C$2:$C$181,MATCH(A83,'Labeler 2'!$A$2:$A$181,0))</f>
        <v>Debt collection</v>
      </c>
      <c r="D83" s="16" t="str">
        <f>IF(COUNTIF('Resolution Log'!$A$5:$A$24,A83)&gt;0,INDEX('Resolution Log'!$G$5:$G$24,MATCH(A83,'Resolution Log'!$A$5:$A$24,0)),IF(COUNTIFS('Consistency Check'!$A$5:$A$99,A83,'Consistency Check'!$D$5:$D$99,"No")&gt;0,INDEX('Consistency Check'!$E$5:$E$99,MATCH(A83,'Consistency Check'!$A$5:$A$99,0)),C83))</f>
        <v>Debt collection</v>
      </c>
      <c r="E83" s="14" t="str">
        <f>IF(COUNTIF('Resolution Log'!$A$5:$A$24,A83)&gt;0,"Resolution Log (disagreement)",IF(COUNTIFS('Consistency Check'!$A$5:$A$99,A83,'Consistency Check'!$D$5:$D$99,"No")&gt;0,"Consistency Check (agreed label changed)",IF(COUNTIF('Consistency Check'!$A$5:$A$99,A83)&gt;0,"Consistency Check (agreed label confirmed)","Agreed label")))</f>
        <v>Agreed label</v>
      </c>
      <c r="F83" s="14" t="str">
        <f t="shared" si="4"/>
        <v/>
      </c>
      <c r="G83" s="14" t="str">
        <f t="shared" si="5"/>
        <v/>
      </c>
    </row>
    <row r="84" spans="1:7" ht="15" customHeight="1" x14ac:dyDescent="0.25">
      <c r="A84" s="14">
        <v>8418</v>
      </c>
      <c r="B84" s="14" t="str">
        <f>INDEX('Labeler 1'!$C$2:$C$181,MATCH(A84,'Labeler 1'!$A$2:$A$181,0))</f>
        <v>Credit reporting</v>
      </c>
      <c r="C84" s="14" t="str">
        <f>INDEX('Labeler 2'!$C$2:$C$181,MATCH(A84,'Labeler 2'!$A$2:$A$181,0))</f>
        <v>Credit reporting</v>
      </c>
      <c r="D84" s="16" t="str">
        <f>IF(COUNTIF('Resolution Log'!$A$5:$A$24,A84)&gt;0,INDEX('Resolution Log'!$G$5:$G$24,MATCH(A84,'Resolution Log'!$A$5:$A$24,0)),IF(COUNTIFS('Consistency Check'!$A$5:$A$99,A84,'Consistency Check'!$D$5:$D$99,"No")&gt;0,INDEX('Consistency Check'!$E$5:$E$99,MATCH(A84,'Consistency Check'!$A$5:$A$99,0)),C84))</f>
        <v>Credit reporting</v>
      </c>
      <c r="E84" s="14" t="str">
        <f>IF(COUNTIF('Resolution Log'!$A$5:$A$24,A84)&gt;0,"Resolution Log (disagreement)",IF(COUNTIFS('Consistency Check'!$A$5:$A$99,A84,'Consistency Check'!$D$5:$D$99,"No")&gt;0,"Consistency Check (agreed label changed)",IF(COUNTIF('Consistency Check'!$A$5:$A$99,A84)&gt;0,"Consistency Check (agreed label confirmed)","Agreed label")))</f>
        <v>Consistency Check (agreed label confirmed)</v>
      </c>
      <c r="F84" s="14" t="str">
        <f t="shared" si="4"/>
        <v/>
      </c>
      <c r="G84" s="14" t="str">
        <f t="shared" si="5"/>
        <v/>
      </c>
    </row>
    <row r="85" spans="1:7" ht="15" customHeight="1" x14ac:dyDescent="0.25">
      <c r="A85" s="14">
        <v>8420</v>
      </c>
      <c r="B85" s="14" t="str">
        <f>INDEX('Labeler 1'!$C$2:$C$181,MATCH(A85,'Labeler 1'!$A$2:$A$181,0))</f>
        <v>Credit reporting</v>
      </c>
      <c r="C85" s="14" t="str">
        <f>INDEX('Labeler 2'!$C$2:$C$181,MATCH(A85,'Labeler 2'!$A$2:$A$181,0))</f>
        <v>Credit reporting</v>
      </c>
      <c r="D85" s="16" t="str">
        <f>IF(COUNTIF('Resolution Log'!$A$5:$A$24,A85)&gt;0,INDEX('Resolution Log'!$G$5:$G$24,MATCH(A85,'Resolution Log'!$A$5:$A$24,0)),IF(COUNTIFS('Consistency Check'!$A$5:$A$99,A85,'Consistency Check'!$D$5:$D$99,"No")&gt;0,INDEX('Consistency Check'!$E$5:$E$99,MATCH(A85,'Consistency Check'!$A$5:$A$99,0)),C85))</f>
        <v>Credit reporting</v>
      </c>
      <c r="E85" s="14" t="str">
        <f>IF(COUNTIF('Resolution Log'!$A$5:$A$24,A85)&gt;0,"Resolution Log (disagreement)",IF(COUNTIFS('Consistency Check'!$A$5:$A$99,A85,'Consistency Check'!$D$5:$D$99,"No")&gt;0,"Consistency Check (agreed label changed)",IF(COUNTIF('Consistency Check'!$A$5:$A$99,A85)&gt;0,"Consistency Check (agreed label confirmed)","Agreed label")))</f>
        <v>Agreed label</v>
      </c>
      <c r="F85" s="14" t="str">
        <f t="shared" si="4"/>
        <v/>
      </c>
      <c r="G85" s="14" t="str">
        <f t="shared" si="5"/>
        <v/>
      </c>
    </row>
    <row r="86" spans="1:7" ht="15" customHeight="1" x14ac:dyDescent="0.25">
      <c r="A86" s="14">
        <v>8433</v>
      </c>
      <c r="B86" s="14" t="str">
        <f>INDEX('Labeler 1'!$C$2:$C$181,MATCH(A86,'Labeler 1'!$A$2:$A$181,0))</f>
        <v>Credit reporting</v>
      </c>
      <c r="C86" s="14" t="str">
        <f>INDEX('Labeler 2'!$C$2:$C$181,MATCH(A86,'Labeler 2'!$A$2:$A$181,0))</f>
        <v>Credit reporting</v>
      </c>
      <c r="D86" s="16" t="str">
        <f>IF(COUNTIF('Resolution Log'!$A$5:$A$24,A86)&gt;0,INDEX('Resolution Log'!$G$5:$G$24,MATCH(A86,'Resolution Log'!$A$5:$A$24,0)),IF(COUNTIFS('Consistency Check'!$A$5:$A$99,A86,'Consistency Check'!$D$5:$D$99,"No")&gt;0,INDEX('Consistency Check'!$E$5:$E$99,MATCH(A86,'Consistency Check'!$A$5:$A$99,0)),C86))</f>
        <v>Credit reporting</v>
      </c>
      <c r="E86" s="14" t="str">
        <f>IF(COUNTIF('Resolution Log'!$A$5:$A$24,A86)&gt;0,"Resolution Log (disagreement)",IF(COUNTIFS('Consistency Check'!$A$5:$A$99,A86,'Consistency Check'!$D$5:$D$99,"No")&gt;0,"Consistency Check (agreed label changed)",IF(COUNTIF('Consistency Check'!$A$5:$A$99,A86)&gt;0,"Consistency Check (agreed label confirmed)","Agreed label")))</f>
        <v>Consistency Check (agreed label confirmed)</v>
      </c>
      <c r="F86" s="14" t="str">
        <f t="shared" si="4"/>
        <v/>
      </c>
      <c r="G86" s="14" t="str">
        <f t="shared" si="5"/>
        <v/>
      </c>
    </row>
    <row r="87" spans="1:7" ht="15" customHeight="1" x14ac:dyDescent="0.25">
      <c r="A87" s="14">
        <v>8437</v>
      </c>
      <c r="B87" s="14" t="str">
        <f>INDEX('Labeler 1'!$C$2:$C$181,MATCH(A87,'Labeler 1'!$A$2:$A$181,0))</f>
        <v>Debt collection</v>
      </c>
      <c r="C87" s="14" t="str">
        <f>INDEX('Labeler 2'!$C$2:$C$181,MATCH(A87,'Labeler 2'!$A$2:$A$181,0))</f>
        <v>Debt collection</v>
      </c>
      <c r="D87" s="16" t="str">
        <f>IF(COUNTIF('Resolution Log'!$A$5:$A$24,A87)&gt;0,INDEX('Resolution Log'!$G$5:$G$24,MATCH(A87,'Resolution Log'!$A$5:$A$24,0)),IF(COUNTIFS('Consistency Check'!$A$5:$A$99,A87,'Consistency Check'!$D$5:$D$99,"No")&gt;0,INDEX('Consistency Check'!$E$5:$E$99,MATCH(A87,'Consistency Check'!$A$5:$A$99,0)),C87))</f>
        <v>Debt collection</v>
      </c>
      <c r="E87" s="14" t="str">
        <f>IF(COUNTIF('Resolution Log'!$A$5:$A$24,A87)&gt;0,"Resolution Log (disagreement)",IF(COUNTIFS('Consistency Check'!$A$5:$A$99,A87,'Consistency Check'!$D$5:$D$99,"No")&gt;0,"Consistency Check (agreed label changed)",IF(COUNTIF('Consistency Check'!$A$5:$A$99,A87)&gt;0,"Consistency Check (agreed label confirmed)","Agreed label")))</f>
        <v>Agreed label</v>
      </c>
      <c r="F87" s="14" t="str">
        <f t="shared" si="4"/>
        <v/>
      </c>
      <c r="G87" s="14" t="str">
        <f t="shared" si="5"/>
        <v/>
      </c>
    </row>
    <row r="88" spans="1:7" ht="15" customHeight="1" x14ac:dyDescent="0.25">
      <c r="A88" s="14">
        <v>8441</v>
      </c>
      <c r="B88" s="14" t="str">
        <f>INDEX('Labeler 1'!$C$2:$C$181,MATCH(A88,'Labeler 1'!$A$2:$A$181,0))</f>
        <v>Credit reporting</v>
      </c>
      <c r="C88" s="14" t="str">
        <f>INDEX('Labeler 2'!$C$2:$C$181,MATCH(A88,'Labeler 2'!$A$2:$A$181,0))</f>
        <v>Credit reporting</v>
      </c>
      <c r="D88" s="16" t="str">
        <f>IF(COUNTIF('Resolution Log'!$A$5:$A$24,A88)&gt;0,INDEX('Resolution Log'!$G$5:$G$24,MATCH(A88,'Resolution Log'!$A$5:$A$24,0)),IF(COUNTIFS('Consistency Check'!$A$5:$A$99,A88,'Consistency Check'!$D$5:$D$99,"No")&gt;0,INDEX('Consistency Check'!$E$5:$E$99,MATCH(A88,'Consistency Check'!$A$5:$A$99,0)),C88))</f>
        <v>Credit reporting</v>
      </c>
      <c r="E88" s="14" t="str">
        <f>IF(COUNTIF('Resolution Log'!$A$5:$A$24,A88)&gt;0,"Resolution Log (disagreement)",IF(COUNTIFS('Consistency Check'!$A$5:$A$99,A88,'Consistency Check'!$D$5:$D$99,"No")&gt;0,"Consistency Check (agreed label changed)",IF(COUNTIF('Consistency Check'!$A$5:$A$99,A88)&gt;0,"Consistency Check (agreed label confirmed)","Agreed label")))</f>
        <v>Agreed label</v>
      </c>
      <c r="F88" s="14" t="str">
        <f t="shared" si="4"/>
        <v/>
      </c>
      <c r="G88" s="14" t="str">
        <f t="shared" si="5"/>
        <v/>
      </c>
    </row>
    <row r="89" spans="1:7" ht="15" customHeight="1" x14ac:dyDescent="0.25">
      <c r="A89" s="14">
        <v>8444</v>
      </c>
      <c r="B89" s="14" t="str">
        <f>INDEX('Labeler 1'!$C$2:$C$181,MATCH(A89,'Labeler 1'!$A$2:$A$181,0))</f>
        <v>Money transfer or service</v>
      </c>
      <c r="C89" s="14" t="str">
        <f>INDEX('Labeler 2'!$C$2:$C$181,MATCH(A89,'Labeler 2'!$A$2:$A$181,0))</f>
        <v>Bank account or service</v>
      </c>
      <c r="D89" s="16" t="str">
        <f>IF(COUNTIF('Resolution Log'!$A$5:$A$24,A89)&gt;0,INDEX('Resolution Log'!$G$5:$G$24,MATCH(A89,'Resolution Log'!$A$5:$A$24,0)),IF(COUNTIFS('Consistency Check'!$A$5:$A$99,A89,'Consistency Check'!$D$5:$D$99,"No")&gt;0,INDEX('Consistency Check'!$E$5:$E$99,MATCH(A89,'Consistency Check'!$A$5:$A$99,0)),C89))</f>
        <v>Bank account or service</v>
      </c>
      <c r="E89" s="14" t="str">
        <f>IF(COUNTIF('Resolution Log'!$A$5:$A$24,A89)&gt;0,"Resolution Log (disagreement)",IF(COUNTIFS('Consistency Check'!$A$5:$A$99,A89,'Consistency Check'!$D$5:$D$99,"No")&gt;0,"Consistency Check (agreed label changed)",IF(COUNTIF('Consistency Check'!$A$5:$A$99,A89)&gt;0,"Consistency Check (agreed label confirmed)","Agreed label")))</f>
        <v>Resolution Log (disagreement)</v>
      </c>
      <c r="F89" s="14" t="str">
        <f t="shared" si="4"/>
        <v>Yes</v>
      </c>
      <c r="G89" s="14" t="str">
        <f t="shared" si="5"/>
        <v/>
      </c>
    </row>
    <row r="90" spans="1:7" ht="15" customHeight="1" x14ac:dyDescent="0.25">
      <c r="A90" s="14">
        <v>8449</v>
      </c>
      <c r="B90" s="14" t="str">
        <f>INDEX('Labeler 1'!$C$2:$C$181,MATCH(A90,'Labeler 1'!$A$2:$A$181,0))</f>
        <v>Bank account or service</v>
      </c>
      <c r="C90" s="14" t="str">
        <f>INDEX('Labeler 2'!$C$2:$C$181,MATCH(A90,'Labeler 2'!$A$2:$A$181,0))</f>
        <v>Bank account or service</v>
      </c>
      <c r="D90" s="16" t="str">
        <f>IF(COUNTIF('Resolution Log'!$A$5:$A$24,A90)&gt;0,INDEX('Resolution Log'!$G$5:$G$24,MATCH(A90,'Resolution Log'!$A$5:$A$24,0)),IF(COUNTIFS('Consistency Check'!$A$5:$A$99,A90,'Consistency Check'!$D$5:$D$99,"No")&gt;0,INDEX('Consistency Check'!$E$5:$E$99,MATCH(A90,'Consistency Check'!$A$5:$A$99,0)),C90))</f>
        <v>Bank account or service</v>
      </c>
      <c r="E90" s="14" t="str">
        <f>IF(COUNTIF('Resolution Log'!$A$5:$A$24,A90)&gt;0,"Resolution Log (disagreement)",IF(COUNTIFS('Consistency Check'!$A$5:$A$99,A90,'Consistency Check'!$D$5:$D$99,"No")&gt;0,"Consistency Check (agreed label changed)",IF(COUNTIF('Consistency Check'!$A$5:$A$99,A90)&gt;0,"Consistency Check (agreed label confirmed)","Agreed label")))</f>
        <v>Consistency Check (agreed label confirmed)</v>
      </c>
      <c r="F90" s="14" t="str">
        <f t="shared" si="4"/>
        <v/>
      </c>
      <c r="G90" s="14" t="str">
        <f t="shared" si="5"/>
        <v/>
      </c>
    </row>
    <row r="91" spans="1:7" ht="15" customHeight="1" x14ac:dyDescent="0.25">
      <c r="A91" s="14">
        <v>8453</v>
      </c>
      <c r="B91" s="14" t="str">
        <f>INDEX('Labeler 1'!$C$2:$C$181,MATCH(A91,'Labeler 1'!$A$2:$A$181,0))</f>
        <v>Debt collection</v>
      </c>
      <c r="C91" s="14" t="str">
        <f>INDEX('Labeler 2'!$C$2:$C$181,MATCH(A91,'Labeler 2'!$A$2:$A$181,0))</f>
        <v>Debt collection</v>
      </c>
      <c r="D91" s="16" t="str">
        <f>IF(COUNTIF('Resolution Log'!$A$5:$A$24,A91)&gt;0,INDEX('Resolution Log'!$G$5:$G$24,MATCH(A91,'Resolution Log'!$A$5:$A$24,0)),IF(COUNTIFS('Consistency Check'!$A$5:$A$99,A91,'Consistency Check'!$D$5:$D$99,"No")&gt;0,INDEX('Consistency Check'!$E$5:$E$99,MATCH(A91,'Consistency Check'!$A$5:$A$99,0)),C91))</f>
        <v>Debt collection</v>
      </c>
      <c r="E91" s="14" t="str">
        <f>IF(COUNTIF('Resolution Log'!$A$5:$A$24,A91)&gt;0,"Resolution Log (disagreement)",IF(COUNTIFS('Consistency Check'!$A$5:$A$99,A91,'Consistency Check'!$D$5:$D$99,"No")&gt;0,"Consistency Check (agreed label changed)",IF(COUNTIF('Consistency Check'!$A$5:$A$99,A91)&gt;0,"Consistency Check (agreed label confirmed)","Agreed label")))</f>
        <v>Agreed label</v>
      </c>
      <c r="F91" s="14" t="str">
        <f t="shared" si="4"/>
        <v/>
      </c>
      <c r="G91" s="14" t="str">
        <f t="shared" si="5"/>
        <v/>
      </c>
    </row>
    <row r="92" spans="1:7" ht="15" customHeight="1" x14ac:dyDescent="0.25">
      <c r="A92" s="14">
        <v>8455</v>
      </c>
      <c r="B92" s="14" t="str">
        <f>INDEX('Labeler 1'!$C$2:$C$181,MATCH(A92,'Labeler 1'!$A$2:$A$181,0))</f>
        <v>Money transfer or service</v>
      </c>
      <c r="C92" s="14" t="str">
        <f>INDEX('Labeler 2'!$C$2:$C$181,MATCH(A92,'Labeler 2'!$A$2:$A$181,0))</f>
        <v>Bank account or service</v>
      </c>
      <c r="D92" s="16" t="str">
        <f>IF(COUNTIF('Resolution Log'!$A$5:$A$24,A92)&gt;0,INDEX('Resolution Log'!$G$5:$G$24,MATCH(A92,'Resolution Log'!$A$5:$A$24,0)),IF(COUNTIFS('Consistency Check'!$A$5:$A$99,A92,'Consistency Check'!$D$5:$D$99,"No")&gt;0,INDEX('Consistency Check'!$E$5:$E$99,MATCH(A92,'Consistency Check'!$A$5:$A$99,0)),C92))</f>
        <v>Money transfer or service</v>
      </c>
      <c r="E92" s="14" t="str">
        <f>IF(COUNTIF('Resolution Log'!$A$5:$A$24,A92)&gt;0,"Resolution Log (disagreement)",IF(COUNTIFS('Consistency Check'!$A$5:$A$99,A92,'Consistency Check'!$D$5:$D$99,"No")&gt;0,"Consistency Check (agreed label changed)",IF(COUNTIF('Consistency Check'!$A$5:$A$99,A92)&gt;0,"Consistency Check (agreed label confirmed)","Agreed label")))</f>
        <v>Resolution Log (disagreement)</v>
      </c>
      <c r="F92" s="14" t="str">
        <f t="shared" si="4"/>
        <v/>
      </c>
      <c r="G92" s="14" t="str">
        <f t="shared" si="5"/>
        <v>Yes</v>
      </c>
    </row>
    <row r="93" spans="1:7" ht="15" customHeight="1" x14ac:dyDescent="0.25">
      <c r="A93" s="14">
        <v>8461</v>
      </c>
      <c r="B93" s="14" t="str">
        <f>INDEX('Labeler 1'!$C$2:$C$181,MATCH(A93,'Labeler 1'!$A$2:$A$181,0))</f>
        <v>Credit card</v>
      </c>
      <c r="C93" s="14" t="str">
        <f>INDEX('Labeler 2'!$C$2:$C$181,MATCH(A93,'Labeler 2'!$A$2:$A$181,0))</f>
        <v>Credit card</v>
      </c>
      <c r="D93" s="16" t="str">
        <f>IF(COUNTIF('Resolution Log'!$A$5:$A$24,A93)&gt;0,INDEX('Resolution Log'!$G$5:$G$24,MATCH(A93,'Resolution Log'!$A$5:$A$24,0)),IF(COUNTIFS('Consistency Check'!$A$5:$A$99,A93,'Consistency Check'!$D$5:$D$99,"No")&gt;0,INDEX('Consistency Check'!$E$5:$E$99,MATCH(A93,'Consistency Check'!$A$5:$A$99,0)),C93))</f>
        <v>Credit card</v>
      </c>
      <c r="E93" s="14" t="str">
        <f>IF(COUNTIF('Resolution Log'!$A$5:$A$24,A93)&gt;0,"Resolution Log (disagreement)",IF(COUNTIFS('Consistency Check'!$A$5:$A$99,A93,'Consistency Check'!$D$5:$D$99,"No")&gt;0,"Consistency Check (agreed label changed)",IF(COUNTIF('Consistency Check'!$A$5:$A$99,A93)&gt;0,"Consistency Check (agreed label confirmed)","Agreed label")))</f>
        <v>Agreed label</v>
      </c>
      <c r="F93" s="14" t="str">
        <f t="shared" si="4"/>
        <v/>
      </c>
      <c r="G93" s="14" t="str">
        <f t="shared" si="5"/>
        <v/>
      </c>
    </row>
    <row r="94" spans="1:7" ht="15" customHeight="1" x14ac:dyDescent="0.25">
      <c r="A94" s="14">
        <v>8470</v>
      </c>
      <c r="B94" s="14" t="str">
        <f>INDEX('Labeler 1'!$C$2:$C$181,MATCH(A94,'Labeler 1'!$A$2:$A$181,0))</f>
        <v>Bank account or service</v>
      </c>
      <c r="C94" s="14" t="str">
        <f>INDEX('Labeler 2'!$C$2:$C$181,MATCH(A94,'Labeler 2'!$A$2:$A$181,0))</f>
        <v>Bank account or service</v>
      </c>
      <c r="D94" s="16" t="str">
        <f>IF(COUNTIF('Resolution Log'!$A$5:$A$24,A94)&gt;0,INDEX('Resolution Log'!$G$5:$G$24,MATCH(A94,'Resolution Log'!$A$5:$A$24,0)),IF(COUNTIFS('Consistency Check'!$A$5:$A$99,A94,'Consistency Check'!$D$5:$D$99,"No")&gt;0,INDEX('Consistency Check'!$E$5:$E$99,MATCH(A94,'Consistency Check'!$A$5:$A$99,0)),C94))</f>
        <v>Bank account or service</v>
      </c>
      <c r="E94" s="14" t="str">
        <f>IF(COUNTIF('Resolution Log'!$A$5:$A$24,A94)&gt;0,"Resolution Log (disagreement)",IF(COUNTIFS('Consistency Check'!$A$5:$A$99,A94,'Consistency Check'!$D$5:$D$99,"No")&gt;0,"Consistency Check (agreed label changed)",IF(COUNTIF('Consistency Check'!$A$5:$A$99,A94)&gt;0,"Consistency Check (agreed label confirmed)","Agreed label")))</f>
        <v>Consistency Check (agreed label confirmed)</v>
      </c>
      <c r="F94" s="14" t="str">
        <f t="shared" si="4"/>
        <v/>
      </c>
      <c r="G94" s="14" t="str">
        <f t="shared" si="5"/>
        <v/>
      </c>
    </row>
    <row r="95" spans="1:7" ht="15" customHeight="1" x14ac:dyDescent="0.25">
      <c r="A95" s="14">
        <v>8472</v>
      </c>
      <c r="B95" s="14" t="str">
        <f>INDEX('Labeler 1'!$C$2:$C$181,MATCH(A95,'Labeler 1'!$A$2:$A$181,0))</f>
        <v>Money transfer or service</v>
      </c>
      <c r="C95" s="14" t="str">
        <f>INDEX('Labeler 2'!$C$2:$C$181,MATCH(A95,'Labeler 2'!$A$2:$A$181,0))</f>
        <v>Bank account or service</v>
      </c>
      <c r="D95" s="16" t="str">
        <f>IF(COUNTIF('Resolution Log'!$A$5:$A$24,A95)&gt;0,INDEX('Resolution Log'!$G$5:$G$24,MATCH(A95,'Resolution Log'!$A$5:$A$24,0)),IF(COUNTIFS('Consistency Check'!$A$5:$A$99,A95,'Consistency Check'!$D$5:$D$99,"No")&gt;0,INDEX('Consistency Check'!$E$5:$E$99,MATCH(A95,'Consistency Check'!$A$5:$A$99,0)),C95))</f>
        <v>Bank account or service</v>
      </c>
      <c r="E95" s="14" t="str">
        <f>IF(COUNTIF('Resolution Log'!$A$5:$A$24,A95)&gt;0,"Resolution Log (disagreement)",IF(COUNTIFS('Consistency Check'!$A$5:$A$99,A95,'Consistency Check'!$D$5:$D$99,"No")&gt;0,"Consistency Check (agreed label changed)",IF(COUNTIF('Consistency Check'!$A$5:$A$99,A95)&gt;0,"Consistency Check (agreed label confirmed)","Agreed label")))</f>
        <v>Resolution Log (disagreement)</v>
      </c>
      <c r="F95" s="14" t="str">
        <f t="shared" si="4"/>
        <v>Yes</v>
      </c>
      <c r="G95" s="14" t="str">
        <f t="shared" si="5"/>
        <v/>
      </c>
    </row>
    <row r="96" spans="1:7" ht="15" customHeight="1" x14ac:dyDescent="0.25">
      <c r="A96" s="14">
        <v>8473</v>
      </c>
      <c r="B96" s="14" t="str">
        <f>INDEX('Labeler 1'!$C$2:$C$181,MATCH(A96,'Labeler 1'!$A$2:$A$181,0))</f>
        <v>Debt collection</v>
      </c>
      <c r="C96" s="14" t="str">
        <f>INDEX('Labeler 2'!$C$2:$C$181,MATCH(A96,'Labeler 2'!$A$2:$A$181,0))</f>
        <v>Debt collection</v>
      </c>
      <c r="D96" s="16" t="str">
        <f>IF(COUNTIF('Resolution Log'!$A$5:$A$24,A96)&gt;0,INDEX('Resolution Log'!$G$5:$G$24,MATCH(A96,'Resolution Log'!$A$5:$A$24,0)),IF(COUNTIFS('Consistency Check'!$A$5:$A$99,A96,'Consistency Check'!$D$5:$D$99,"No")&gt;0,INDEX('Consistency Check'!$E$5:$E$99,MATCH(A96,'Consistency Check'!$A$5:$A$99,0)),C96))</f>
        <v>Debt collection</v>
      </c>
      <c r="E96" s="14" t="str">
        <f>IF(COUNTIF('Resolution Log'!$A$5:$A$24,A96)&gt;0,"Resolution Log (disagreement)",IF(COUNTIFS('Consistency Check'!$A$5:$A$99,A96,'Consistency Check'!$D$5:$D$99,"No")&gt;0,"Consistency Check (agreed label changed)",IF(COUNTIF('Consistency Check'!$A$5:$A$99,A96)&gt;0,"Consistency Check (agreed label confirmed)","Agreed label")))</f>
        <v>Agreed label</v>
      </c>
      <c r="F96" s="14" t="str">
        <f t="shared" si="4"/>
        <v/>
      </c>
      <c r="G96" s="14" t="str">
        <f t="shared" si="5"/>
        <v/>
      </c>
    </row>
    <row r="97" spans="1:7" ht="15" customHeight="1" x14ac:dyDescent="0.25">
      <c r="A97" s="14">
        <v>8475</v>
      </c>
      <c r="B97" s="14" t="str">
        <f>INDEX('Labeler 1'!$C$2:$C$181,MATCH(A97,'Labeler 1'!$A$2:$A$181,0))</f>
        <v>Consumer loan</v>
      </c>
      <c r="C97" s="14" t="str">
        <f>INDEX('Labeler 2'!$C$2:$C$181,MATCH(A97,'Labeler 2'!$A$2:$A$181,0))</f>
        <v>Consumer loan</v>
      </c>
      <c r="D97" s="16" t="str">
        <f>IF(COUNTIF('Resolution Log'!$A$5:$A$24,A97)&gt;0,INDEX('Resolution Log'!$G$5:$G$24,MATCH(A97,'Resolution Log'!$A$5:$A$24,0)),IF(COUNTIFS('Consistency Check'!$A$5:$A$99,A97,'Consistency Check'!$D$5:$D$99,"No")&gt;0,INDEX('Consistency Check'!$E$5:$E$99,MATCH(A97,'Consistency Check'!$A$5:$A$99,0)),C97))</f>
        <v>Consumer loan</v>
      </c>
      <c r="E97" s="14" t="str">
        <f>IF(COUNTIF('Resolution Log'!$A$5:$A$24,A97)&gt;0,"Resolution Log (disagreement)",IF(COUNTIFS('Consistency Check'!$A$5:$A$99,A97,'Consistency Check'!$D$5:$D$99,"No")&gt;0,"Consistency Check (agreed label changed)",IF(COUNTIF('Consistency Check'!$A$5:$A$99,A97)&gt;0,"Consistency Check (agreed label confirmed)","Agreed label")))</f>
        <v>Agreed label</v>
      </c>
      <c r="F97" s="14" t="str">
        <f t="shared" si="4"/>
        <v/>
      </c>
      <c r="G97" s="14" t="str">
        <f t="shared" si="5"/>
        <v/>
      </c>
    </row>
    <row r="98" spans="1:7" ht="15" customHeight="1" x14ac:dyDescent="0.25">
      <c r="A98" s="14">
        <v>8485</v>
      </c>
      <c r="B98" s="14" t="str">
        <f>INDEX('Labeler 1'!$C$2:$C$181,MATCH(A98,'Labeler 1'!$A$2:$A$181,0))</f>
        <v>Debt collection</v>
      </c>
      <c r="C98" s="14" t="str">
        <f>INDEX('Labeler 2'!$C$2:$C$181,MATCH(A98,'Labeler 2'!$A$2:$A$181,0))</f>
        <v>Debt collection</v>
      </c>
      <c r="D98" s="16" t="str">
        <f>IF(COUNTIF('Resolution Log'!$A$5:$A$24,A98)&gt;0,INDEX('Resolution Log'!$G$5:$G$24,MATCH(A98,'Resolution Log'!$A$5:$A$24,0)),IF(COUNTIFS('Consistency Check'!$A$5:$A$99,A98,'Consistency Check'!$D$5:$D$99,"No")&gt;0,INDEX('Consistency Check'!$E$5:$E$99,MATCH(A98,'Consistency Check'!$A$5:$A$99,0)),C98))</f>
        <v>Debt collection</v>
      </c>
      <c r="E98" s="14" t="str">
        <f>IF(COUNTIF('Resolution Log'!$A$5:$A$24,A98)&gt;0,"Resolution Log (disagreement)",IF(COUNTIFS('Consistency Check'!$A$5:$A$99,A98,'Consistency Check'!$D$5:$D$99,"No")&gt;0,"Consistency Check (agreed label changed)",IF(COUNTIF('Consistency Check'!$A$5:$A$99,A98)&gt;0,"Consistency Check (agreed label confirmed)","Agreed label")))</f>
        <v>Agreed label</v>
      </c>
      <c r="F98" s="14" t="str">
        <f t="shared" si="4"/>
        <v/>
      </c>
      <c r="G98" s="14" t="str">
        <f t="shared" si="5"/>
        <v/>
      </c>
    </row>
    <row r="99" spans="1:7" ht="15" customHeight="1" x14ac:dyDescent="0.25">
      <c r="A99" s="14">
        <v>8487</v>
      </c>
      <c r="B99" s="14" t="str">
        <f>INDEX('Labeler 1'!$C$2:$C$181,MATCH(A99,'Labeler 1'!$A$2:$A$181,0))</f>
        <v>Credit reporting</v>
      </c>
      <c r="C99" s="14" t="str">
        <f>INDEX('Labeler 2'!$C$2:$C$181,MATCH(A99,'Labeler 2'!$A$2:$A$181,0))</f>
        <v>Credit reporting</v>
      </c>
      <c r="D99" s="16" t="str">
        <f>IF(COUNTIF('Resolution Log'!$A$5:$A$24,A99)&gt;0,INDEX('Resolution Log'!$G$5:$G$24,MATCH(A99,'Resolution Log'!$A$5:$A$24,0)),IF(COUNTIFS('Consistency Check'!$A$5:$A$99,A99,'Consistency Check'!$D$5:$D$99,"No")&gt;0,INDEX('Consistency Check'!$E$5:$E$99,MATCH(A99,'Consistency Check'!$A$5:$A$99,0)),C99))</f>
        <v>Credit reporting</v>
      </c>
      <c r="E99" s="14" t="str">
        <f>IF(COUNTIF('Resolution Log'!$A$5:$A$24,A99)&gt;0,"Resolution Log (disagreement)",IF(COUNTIFS('Consistency Check'!$A$5:$A$99,A99,'Consistency Check'!$D$5:$D$99,"No")&gt;0,"Consistency Check (agreed label changed)",IF(COUNTIF('Consistency Check'!$A$5:$A$99,A99)&gt;0,"Consistency Check (agreed label confirmed)","Agreed label")))</f>
        <v>Consistency Check (agreed label confirmed)</v>
      </c>
      <c r="F99" s="14" t="str">
        <f t="shared" si="4"/>
        <v/>
      </c>
      <c r="G99" s="14" t="str">
        <f t="shared" si="5"/>
        <v/>
      </c>
    </row>
    <row r="100" spans="1:7" ht="15" customHeight="1" x14ac:dyDescent="0.25">
      <c r="A100" s="14">
        <v>8491</v>
      </c>
      <c r="B100" s="14" t="str">
        <f>INDEX('Labeler 1'!$C$2:$C$181,MATCH(A100,'Labeler 1'!$A$2:$A$181,0))</f>
        <v>Credit reporting</v>
      </c>
      <c r="C100" s="14" t="str">
        <f>INDEX('Labeler 2'!$C$2:$C$181,MATCH(A100,'Labeler 2'!$A$2:$A$181,0))</f>
        <v>Credit reporting</v>
      </c>
      <c r="D100" s="16" t="str">
        <f>IF(COUNTIF('Resolution Log'!$A$5:$A$24,A100)&gt;0,INDEX('Resolution Log'!$G$5:$G$24,MATCH(A100,'Resolution Log'!$A$5:$A$24,0)),IF(COUNTIFS('Consistency Check'!$A$5:$A$99,A100,'Consistency Check'!$D$5:$D$99,"No")&gt;0,INDEX('Consistency Check'!$E$5:$E$99,MATCH(A100,'Consistency Check'!$A$5:$A$99,0)),C100))</f>
        <v>Credit reporting</v>
      </c>
      <c r="E100" s="14" t="str">
        <f>IF(COUNTIF('Resolution Log'!$A$5:$A$24,A100)&gt;0,"Resolution Log (disagreement)",IF(COUNTIFS('Consistency Check'!$A$5:$A$99,A100,'Consistency Check'!$D$5:$D$99,"No")&gt;0,"Consistency Check (agreed label changed)",IF(COUNTIF('Consistency Check'!$A$5:$A$99,A100)&gt;0,"Consistency Check (agreed label confirmed)","Agreed label")))</f>
        <v>Agreed label</v>
      </c>
      <c r="F100" s="14" t="str">
        <f t="shared" si="4"/>
        <v/>
      </c>
      <c r="G100" s="14" t="str">
        <f t="shared" si="5"/>
        <v/>
      </c>
    </row>
    <row r="101" spans="1:7" ht="15" customHeight="1" x14ac:dyDescent="0.25">
      <c r="A101" s="14">
        <v>8499</v>
      </c>
      <c r="B101" s="14" t="str">
        <f>INDEX('Labeler 1'!$C$2:$C$181,MATCH(A101,'Labeler 1'!$A$2:$A$181,0))</f>
        <v>Consumer loan</v>
      </c>
      <c r="C101" s="14" t="str">
        <f>INDEX('Labeler 2'!$C$2:$C$181,MATCH(A101,'Labeler 2'!$A$2:$A$181,0))</f>
        <v>Consumer loan</v>
      </c>
      <c r="D101" s="16" t="str">
        <f>IF(COUNTIF('Resolution Log'!$A$5:$A$24,A101)&gt;0,INDEX('Resolution Log'!$G$5:$G$24,MATCH(A101,'Resolution Log'!$A$5:$A$24,0)),IF(COUNTIFS('Consistency Check'!$A$5:$A$99,A101,'Consistency Check'!$D$5:$D$99,"No")&gt;0,INDEX('Consistency Check'!$E$5:$E$99,MATCH(A101,'Consistency Check'!$A$5:$A$99,0)),C101))</f>
        <v>Consumer loan</v>
      </c>
      <c r="E101" s="14" t="str">
        <f>IF(COUNTIF('Resolution Log'!$A$5:$A$24,A101)&gt;0,"Resolution Log (disagreement)",IF(COUNTIFS('Consistency Check'!$A$5:$A$99,A101,'Consistency Check'!$D$5:$D$99,"No")&gt;0,"Consistency Check (agreed label changed)",IF(COUNTIF('Consistency Check'!$A$5:$A$99,A101)&gt;0,"Consistency Check (agreed label confirmed)","Agreed label")))</f>
        <v>Agreed label</v>
      </c>
      <c r="F101" s="14" t="str">
        <f t="shared" ref="F101:F132" si="6">IF(D101&lt;&gt;B101,"Yes","")</f>
        <v/>
      </c>
      <c r="G101" s="14" t="str">
        <f t="shared" ref="G101:G132" si="7">IF(D101&lt;&gt;C101,"Yes","")</f>
        <v/>
      </c>
    </row>
    <row r="102" spans="1:7" ht="15" customHeight="1" x14ac:dyDescent="0.25">
      <c r="A102" s="14">
        <v>8505</v>
      </c>
      <c r="B102" s="14" t="str">
        <f>INDEX('Labeler 1'!$C$2:$C$181,MATCH(A102,'Labeler 1'!$A$2:$A$181,0))</f>
        <v>Credit reporting</v>
      </c>
      <c r="C102" s="14" t="str">
        <f>INDEX('Labeler 2'!$C$2:$C$181,MATCH(A102,'Labeler 2'!$A$2:$A$181,0))</f>
        <v>Debt collection</v>
      </c>
      <c r="D102" s="16" t="str">
        <f>IF(COUNTIF('Resolution Log'!$A$5:$A$24,A102)&gt;0,INDEX('Resolution Log'!$G$5:$G$24,MATCH(A102,'Resolution Log'!$A$5:$A$24,0)),IF(COUNTIFS('Consistency Check'!$A$5:$A$99,A102,'Consistency Check'!$D$5:$D$99,"No")&gt;0,INDEX('Consistency Check'!$E$5:$E$99,MATCH(A102,'Consistency Check'!$A$5:$A$99,0)),C102))</f>
        <v>Debt collection</v>
      </c>
      <c r="E102" s="14" t="str">
        <f>IF(COUNTIF('Resolution Log'!$A$5:$A$24,A102)&gt;0,"Resolution Log (disagreement)",IF(COUNTIFS('Consistency Check'!$A$5:$A$99,A102,'Consistency Check'!$D$5:$D$99,"No")&gt;0,"Consistency Check (agreed label changed)",IF(COUNTIF('Consistency Check'!$A$5:$A$99,A102)&gt;0,"Consistency Check (agreed label confirmed)","Agreed label")))</f>
        <v>Resolution Log (disagreement)</v>
      </c>
      <c r="F102" s="14" t="str">
        <f t="shared" si="6"/>
        <v>Yes</v>
      </c>
      <c r="G102" s="14" t="str">
        <f t="shared" si="7"/>
        <v/>
      </c>
    </row>
    <row r="103" spans="1:7" ht="15" customHeight="1" x14ac:dyDescent="0.25">
      <c r="A103" s="14">
        <v>8528</v>
      </c>
      <c r="B103" s="14" t="str">
        <f>INDEX('Labeler 1'!$C$2:$C$181,MATCH(A103,'Labeler 1'!$A$2:$A$181,0))</f>
        <v>Credit reporting</v>
      </c>
      <c r="C103" s="14" t="str">
        <f>INDEX('Labeler 2'!$C$2:$C$181,MATCH(A103,'Labeler 2'!$A$2:$A$181,0))</f>
        <v>Credit reporting</v>
      </c>
      <c r="D103" s="16" t="str">
        <f>IF(COUNTIF('Resolution Log'!$A$5:$A$24,A103)&gt;0,INDEX('Resolution Log'!$G$5:$G$24,MATCH(A103,'Resolution Log'!$A$5:$A$24,0)),IF(COUNTIFS('Consistency Check'!$A$5:$A$99,A103,'Consistency Check'!$D$5:$D$99,"No")&gt;0,INDEX('Consistency Check'!$E$5:$E$99,MATCH(A103,'Consistency Check'!$A$5:$A$99,0)),C103))</f>
        <v>Credit reporting</v>
      </c>
      <c r="E103" s="14" t="str">
        <f>IF(COUNTIF('Resolution Log'!$A$5:$A$24,A103)&gt;0,"Resolution Log (disagreement)",IF(COUNTIFS('Consistency Check'!$A$5:$A$99,A103,'Consistency Check'!$D$5:$D$99,"No")&gt;0,"Consistency Check (agreed label changed)",IF(COUNTIF('Consistency Check'!$A$5:$A$99,A103)&gt;0,"Consistency Check (agreed label confirmed)","Agreed label")))</f>
        <v>Agreed label</v>
      </c>
      <c r="F103" s="14" t="str">
        <f t="shared" si="6"/>
        <v/>
      </c>
      <c r="G103" s="14" t="str">
        <f t="shared" si="7"/>
        <v/>
      </c>
    </row>
    <row r="104" spans="1:7" ht="15" customHeight="1" x14ac:dyDescent="0.25">
      <c r="A104" s="14">
        <v>8537</v>
      </c>
      <c r="B104" s="14" t="str">
        <f>INDEX('Labeler 1'!$C$2:$C$181,MATCH(A104,'Labeler 1'!$A$2:$A$181,0))</f>
        <v>Mortgage</v>
      </c>
      <c r="C104" s="14" t="str">
        <f>INDEX('Labeler 2'!$C$2:$C$181,MATCH(A104,'Labeler 2'!$A$2:$A$181,0))</f>
        <v>Mortgage</v>
      </c>
      <c r="D104" s="16" t="str">
        <f>IF(COUNTIF('Resolution Log'!$A$5:$A$24,A104)&gt;0,INDEX('Resolution Log'!$G$5:$G$24,MATCH(A104,'Resolution Log'!$A$5:$A$24,0)),IF(COUNTIFS('Consistency Check'!$A$5:$A$99,A104,'Consistency Check'!$D$5:$D$99,"No")&gt;0,INDEX('Consistency Check'!$E$5:$E$99,MATCH(A104,'Consistency Check'!$A$5:$A$99,0)),C104))</f>
        <v>Mortgage</v>
      </c>
      <c r="E104" s="14" t="str">
        <f>IF(COUNTIF('Resolution Log'!$A$5:$A$24,A104)&gt;0,"Resolution Log (disagreement)",IF(COUNTIFS('Consistency Check'!$A$5:$A$99,A104,'Consistency Check'!$D$5:$D$99,"No")&gt;0,"Consistency Check (agreed label changed)",IF(COUNTIF('Consistency Check'!$A$5:$A$99,A104)&gt;0,"Consistency Check (agreed label confirmed)","Agreed label")))</f>
        <v>Agreed label</v>
      </c>
      <c r="F104" s="14" t="str">
        <f t="shared" si="6"/>
        <v/>
      </c>
      <c r="G104" s="14" t="str">
        <f t="shared" si="7"/>
        <v/>
      </c>
    </row>
    <row r="105" spans="1:7" ht="15" customHeight="1" x14ac:dyDescent="0.25">
      <c r="A105" s="14">
        <v>8538</v>
      </c>
      <c r="B105" s="14" t="str">
        <f>INDEX('Labeler 1'!$C$2:$C$181,MATCH(A105,'Labeler 1'!$A$2:$A$181,0))</f>
        <v>Credit card</v>
      </c>
      <c r="C105" s="14" t="str">
        <f>INDEX('Labeler 2'!$C$2:$C$181,MATCH(A105,'Labeler 2'!$A$2:$A$181,0))</f>
        <v>Credit card</v>
      </c>
      <c r="D105" s="16" t="str">
        <f>IF(COUNTIF('Resolution Log'!$A$5:$A$24,A105)&gt;0,INDEX('Resolution Log'!$G$5:$G$24,MATCH(A105,'Resolution Log'!$A$5:$A$24,0)),IF(COUNTIFS('Consistency Check'!$A$5:$A$99,A105,'Consistency Check'!$D$5:$D$99,"No")&gt;0,INDEX('Consistency Check'!$E$5:$E$99,MATCH(A105,'Consistency Check'!$A$5:$A$99,0)),C105))</f>
        <v>Credit card</v>
      </c>
      <c r="E105" s="14" t="str">
        <f>IF(COUNTIF('Resolution Log'!$A$5:$A$24,A105)&gt;0,"Resolution Log (disagreement)",IF(COUNTIFS('Consistency Check'!$A$5:$A$99,A105,'Consistency Check'!$D$5:$D$99,"No")&gt;0,"Consistency Check (agreed label changed)",IF(COUNTIF('Consistency Check'!$A$5:$A$99,A105)&gt;0,"Consistency Check (agreed label confirmed)","Agreed label")))</f>
        <v>Agreed label</v>
      </c>
      <c r="F105" s="14" t="str">
        <f t="shared" si="6"/>
        <v/>
      </c>
      <c r="G105" s="14" t="str">
        <f t="shared" si="7"/>
        <v/>
      </c>
    </row>
    <row r="106" spans="1:7" ht="15" customHeight="1" x14ac:dyDescent="0.25">
      <c r="A106" s="14">
        <v>8539</v>
      </c>
      <c r="B106" s="14" t="str">
        <f>INDEX('Labeler 1'!$C$2:$C$181,MATCH(A106,'Labeler 1'!$A$2:$A$181,0))</f>
        <v>Money transfer or service</v>
      </c>
      <c r="C106" s="14" t="str">
        <f>INDEX('Labeler 2'!$C$2:$C$181,MATCH(A106,'Labeler 2'!$A$2:$A$181,0))</f>
        <v>Bank account or service</v>
      </c>
      <c r="D106" s="16" t="str">
        <f>IF(COUNTIF('Resolution Log'!$A$5:$A$24,A106)&gt;0,INDEX('Resolution Log'!$G$5:$G$24,MATCH(A106,'Resolution Log'!$A$5:$A$24,0)),IF(COUNTIFS('Consistency Check'!$A$5:$A$99,A106,'Consistency Check'!$D$5:$D$99,"No")&gt;0,INDEX('Consistency Check'!$E$5:$E$99,MATCH(A106,'Consistency Check'!$A$5:$A$99,0)),C106))</f>
        <v>Bank account or service</v>
      </c>
      <c r="E106" s="14" t="str">
        <f>IF(COUNTIF('Resolution Log'!$A$5:$A$24,A106)&gt;0,"Resolution Log (disagreement)",IF(COUNTIFS('Consistency Check'!$A$5:$A$99,A106,'Consistency Check'!$D$5:$D$99,"No")&gt;0,"Consistency Check (agreed label changed)",IF(COUNTIF('Consistency Check'!$A$5:$A$99,A106)&gt;0,"Consistency Check (agreed label confirmed)","Agreed label")))</f>
        <v>Resolution Log (disagreement)</v>
      </c>
      <c r="F106" s="14" t="str">
        <f t="shared" si="6"/>
        <v>Yes</v>
      </c>
      <c r="G106" s="14" t="str">
        <f t="shared" si="7"/>
        <v/>
      </c>
    </row>
    <row r="107" spans="1:7" ht="15" customHeight="1" x14ac:dyDescent="0.25">
      <c r="A107" s="14">
        <v>8549</v>
      </c>
      <c r="B107" s="14" t="str">
        <f>INDEX('Labeler 1'!$C$2:$C$181,MATCH(A107,'Labeler 1'!$A$2:$A$181,0))</f>
        <v>Credit card</v>
      </c>
      <c r="C107" s="14" t="str">
        <f>INDEX('Labeler 2'!$C$2:$C$181,MATCH(A107,'Labeler 2'!$A$2:$A$181,0))</f>
        <v>Credit card</v>
      </c>
      <c r="D107" s="16" t="str">
        <f>IF(COUNTIF('Resolution Log'!$A$5:$A$24,A107)&gt;0,INDEX('Resolution Log'!$G$5:$G$24,MATCH(A107,'Resolution Log'!$A$5:$A$24,0)),IF(COUNTIFS('Consistency Check'!$A$5:$A$99,A107,'Consistency Check'!$D$5:$D$99,"No")&gt;0,INDEX('Consistency Check'!$E$5:$E$99,MATCH(A107,'Consistency Check'!$A$5:$A$99,0)),C107))</f>
        <v>Credit card</v>
      </c>
      <c r="E107" s="14" t="str">
        <f>IF(COUNTIF('Resolution Log'!$A$5:$A$24,A107)&gt;0,"Resolution Log (disagreement)",IF(COUNTIFS('Consistency Check'!$A$5:$A$99,A107,'Consistency Check'!$D$5:$D$99,"No")&gt;0,"Consistency Check (agreed label changed)",IF(COUNTIF('Consistency Check'!$A$5:$A$99,A107)&gt;0,"Consistency Check (agreed label confirmed)","Agreed label")))</f>
        <v>Consistency Check (agreed label confirmed)</v>
      </c>
      <c r="F107" s="14" t="str">
        <f t="shared" si="6"/>
        <v/>
      </c>
      <c r="G107" s="14" t="str">
        <f t="shared" si="7"/>
        <v/>
      </c>
    </row>
    <row r="108" spans="1:7" ht="15" customHeight="1" x14ac:dyDescent="0.25">
      <c r="A108" s="14">
        <v>8554</v>
      </c>
      <c r="B108" s="14" t="str">
        <f>INDEX('Labeler 1'!$C$2:$C$181,MATCH(A108,'Labeler 1'!$A$2:$A$181,0))</f>
        <v>Mortgage</v>
      </c>
      <c r="C108" s="14" t="str">
        <f>INDEX('Labeler 2'!$C$2:$C$181,MATCH(A108,'Labeler 2'!$A$2:$A$181,0))</f>
        <v>Mortgage</v>
      </c>
      <c r="D108" s="16" t="str">
        <f>IF(COUNTIF('Resolution Log'!$A$5:$A$24,A108)&gt;0,INDEX('Resolution Log'!$G$5:$G$24,MATCH(A108,'Resolution Log'!$A$5:$A$24,0)),IF(COUNTIFS('Consistency Check'!$A$5:$A$99,A108,'Consistency Check'!$D$5:$D$99,"No")&gt;0,INDEX('Consistency Check'!$E$5:$E$99,MATCH(A108,'Consistency Check'!$A$5:$A$99,0)),C108))</f>
        <v>Mortgage</v>
      </c>
      <c r="E108" s="14" t="str">
        <f>IF(COUNTIF('Resolution Log'!$A$5:$A$24,A108)&gt;0,"Resolution Log (disagreement)",IF(COUNTIFS('Consistency Check'!$A$5:$A$99,A108,'Consistency Check'!$D$5:$D$99,"No")&gt;0,"Consistency Check (agreed label changed)",IF(COUNTIF('Consistency Check'!$A$5:$A$99,A108)&gt;0,"Consistency Check (agreed label confirmed)","Agreed label")))</f>
        <v>Agreed label</v>
      </c>
      <c r="F108" s="14" t="str">
        <f t="shared" si="6"/>
        <v/>
      </c>
      <c r="G108" s="14" t="str">
        <f t="shared" si="7"/>
        <v/>
      </c>
    </row>
    <row r="109" spans="1:7" ht="15" customHeight="1" x14ac:dyDescent="0.25">
      <c r="A109" s="14">
        <v>8558</v>
      </c>
      <c r="B109" s="14" t="str">
        <f>INDEX('Labeler 1'!$C$2:$C$181,MATCH(A109,'Labeler 1'!$A$2:$A$181,0))</f>
        <v>Credit reporting</v>
      </c>
      <c r="C109" s="14" t="str">
        <f>INDEX('Labeler 2'!$C$2:$C$181,MATCH(A109,'Labeler 2'!$A$2:$A$181,0))</f>
        <v>Credit reporting</v>
      </c>
      <c r="D109" s="16" t="str">
        <f>IF(COUNTIF('Resolution Log'!$A$5:$A$24,A109)&gt;0,INDEX('Resolution Log'!$G$5:$G$24,MATCH(A109,'Resolution Log'!$A$5:$A$24,0)),IF(COUNTIFS('Consistency Check'!$A$5:$A$99,A109,'Consistency Check'!$D$5:$D$99,"No")&gt;0,INDEX('Consistency Check'!$E$5:$E$99,MATCH(A109,'Consistency Check'!$A$5:$A$99,0)),C109))</f>
        <v>Credit reporting</v>
      </c>
      <c r="E109" s="14" t="str">
        <f>IF(COUNTIF('Resolution Log'!$A$5:$A$24,A109)&gt;0,"Resolution Log (disagreement)",IF(COUNTIFS('Consistency Check'!$A$5:$A$99,A109,'Consistency Check'!$D$5:$D$99,"No")&gt;0,"Consistency Check (agreed label changed)",IF(COUNTIF('Consistency Check'!$A$5:$A$99,A109)&gt;0,"Consistency Check (agreed label confirmed)","Agreed label")))</f>
        <v>Agreed label</v>
      </c>
      <c r="F109" s="14" t="str">
        <f t="shared" si="6"/>
        <v/>
      </c>
      <c r="G109" s="14" t="str">
        <f t="shared" si="7"/>
        <v/>
      </c>
    </row>
    <row r="110" spans="1:7" ht="15" customHeight="1" x14ac:dyDescent="0.25">
      <c r="A110" s="14">
        <v>8563</v>
      </c>
      <c r="B110" s="14" t="str">
        <f>INDEX('Labeler 1'!$C$2:$C$181,MATCH(A110,'Labeler 1'!$A$2:$A$181,0))</f>
        <v>Consumer loan</v>
      </c>
      <c r="C110" s="14" t="str">
        <f>INDEX('Labeler 2'!$C$2:$C$181,MATCH(A110,'Labeler 2'!$A$2:$A$181,0))</f>
        <v>Consumer loan</v>
      </c>
      <c r="D110" s="16" t="str">
        <f>IF(COUNTIF('Resolution Log'!$A$5:$A$24,A110)&gt;0,INDEX('Resolution Log'!$G$5:$G$24,MATCH(A110,'Resolution Log'!$A$5:$A$24,0)),IF(COUNTIFS('Consistency Check'!$A$5:$A$99,A110,'Consistency Check'!$D$5:$D$99,"No")&gt;0,INDEX('Consistency Check'!$E$5:$E$99,MATCH(A110,'Consistency Check'!$A$5:$A$99,0)),C110))</f>
        <v>Consumer loan</v>
      </c>
      <c r="E110" s="14" t="str">
        <f>IF(COUNTIF('Resolution Log'!$A$5:$A$24,A110)&gt;0,"Resolution Log (disagreement)",IF(COUNTIFS('Consistency Check'!$A$5:$A$99,A110,'Consistency Check'!$D$5:$D$99,"No")&gt;0,"Consistency Check (agreed label changed)",IF(COUNTIF('Consistency Check'!$A$5:$A$99,A110)&gt;0,"Consistency Check (agreed label confirmed)","Agreed label")))</f>
        <v>Consistency Check (agreed label confirmed)</v>
      </c>
      <c r="F110" s="14" t="str">
        <f t="shared" si="6"/>
        <v/>
      </c>
      <c r="G110" s="14" t="str">
        <f t="shared" si="7"/>
        <v/>
      </c>
    </row>
    <row r="111" spans="1:7" ht="15" customHeight="1" x14ac:dyDescent="0.25">
      <c r="A111" s="14">
        <v>8571</v>
      </c>
      <c r="B111" s="14" t="str">
        <f>INDEX('Labeler 1'!$C$2:$C$181,MATCH(A111,'Labeler 1'!$A$2:$A$181,0))</f>
        <v>Money transfer or service</v>
      </c>
      <c r="C111" s="14" t="str">
        <f>INDEX('Labeler 2'!$C$2:$C$181,MATCH(A111,'Labeler 2'!$A$2:$A$181,0))</f>
        <v>Consumer loan</v>
      </c>
      <c r="D111" s="16" t="str">
        <f>IF(COUNTIF('Resolution Log'!$A$5:$A$24,A111)&gt;0,INDEX('Resolution Log'!$G$5:$G$24,MATCH(A111,'Resolution Log'!$A$5:$A$24,0)),IF(COUNTIFS('Consistency Check'!$A$5:$A$99,A111,'Consistency Check'!$D$5:$D$99,"No")&gt;0,INDEX('Consistency Check'!$E$5:$E$99,MATCH(A111,'Consistency Check'!$A$5:$A$99,0)),C111))</f>
        <v>Bank account or service</v>
      </c>
      <c r="E111" s="14" t="str">
        <f>IF(COUNTIF('Resolution Log'!$A$5:$A$24,A111)&gt;0,"Resolution Log (disagreement)",IF(COUNTIFS('Consistency Check'!$A$5:$A$99,A111,'Consistency Check'!$D$5:$D$99,"No")&gt;0,"Consistency Check (agreed label changed)",IF(COUNTIF('Consistency Check'!$A$5:$A$99,A111)&gt;0,"Consistency Check (agreed label confirmed)","Agreed label")))</f>
        <v>Resolution Log (disagreement)</v>
      </c>
      <c r="F111" s="14" t="str">
        <f t="shared" si="6"/>
        <v>Yes</v>
      </c>
      <c r="G111" s="14" t="str">
        <f t="shared" si="7"/>
        <v>Yes</v>
      </c>
    </row>
    <row r="112" spans="1:7" ht="15" customHeight="1" x14ac:dyDescent="0.25">
      <c r="A112" s="14">
        <v>8573</v>
      </c>
      <c r="B112" s="14" t="str">
        <f>INDEX('Labeler 1'!$C$2:$C$181,MATCH(A112,'Labeler 1'!$A$2:$A$181,0))</f>
        <v>Bank account or service</v>
      </c>
      <c r="C112" s="14" t="str">
        <f>INDEX('Labeler 2'!$C$2:$C$181,MATCH(A112,'Labeler 2'!$A$2:$A$181,0))</f>
        <v>Bank account or service</v>
      </c>
      <c r="D112" s="16" t="str">
        <f>IF(COUNTIF('Resolution Log'!$A$5:$A$24,A112)&gt;0,INDEX('Resolution Log'!$G$5:$G$24,MATCH(A112,'Resolution Log'!$A$5:$A$24,0)),IF(COUNTIFS('Consistency Check'!$A$5:$A$99,A112,'Consistency Check'!$D$5:$D$99,"No")&gt;0,INDEX('Consistency Check'!$E$5:$E$99,MATCH(A112,'Consistency Check'!$A$5:$A$99,0)),C112))</f>
        <v>Bank account or service</v>
      </c>
      <c r="E112" s="14" t="str">
        <f>IF(COUNTIF('Resolution Log'!$A$5:$A$24,A112)&gt;0,"Resolution Log (disagreement)",IF(COUNTIFS('Consistency Check'!$A$5:$A$99,A112,'Consistency Check'!$D$5:$D$99,"No")&gt;0,"Consistency Check (agreed label changed)",IF(COUNTIF('Consistency Check'!$A$5:$A$99,A112)&gt;0,"Consistency Check (agreed label confirmed)","Agreed label")))</f>
        <v>Agreed label</v>
      </c>
      <c r="F112" s="14" t="str">
        <f t="shared" si="6"/>
        <v/>
      </c>
      <c r="G112" s="14" t="str">
        <f t="shared" si="7"/>
        <v/>
      </c>
    </row>
    <row r="113" spans="1:7" ht="15" customHeight="1" x14ac:dyDescent="0.25">
      <c r="A113" s="14">
        <v>8574</v>
      </c>
      <c r="B113" s="14" t="str">
        <f>INDEX('Labeler 1'!$C$2:$C$181,MATCH(A113,'Labeler 1'!$A$2:$A$181,0))</f>
        <v>Debt collection</v>
      </c>
      <c r="C113" s="14" t="str">
        <f>INDEX('Labeler 2'!$C$2:$C$181,MATCH(A113,'Labeler 2'!$A$2:$A$181,0))</f>
        <v>Debt collection</v>
      </c>
      <c r="D113" s="16" t="str">
        <f>IF(COUNTIF('Resolution Log'!$A$5:$A$24,A113)&gt;0,INDEX('Resolution Log'!$G$5:$G$24,MATCH(A113,'Resolution Log'!$A$5:$A$24,0)),IF(COUNTIFS('Consistency Check'!$A$5:$A$99,A113,'Consistency Check'!$D$5:$D$99,"No")&gt;0,INDEX('Consistency Check'!$E$5:$E$99,MATCH(A113,'Consistency Check'!$A$5:$A$99,0)),C113))</f>
        <v>Debt collection</v>
      </c>
      <c r="E113" s="14" t="str">
        <f>IF(COUNTIF('Resolution Log'!$A$5:$A$24,A113)&gt;0,"Resolution Log (disagreement)",IF(COUNTIFS('Consistency Check'!$A$5:$A$99,A113,'Consistency Check'!$D$5:$D$99,"No")&gt;0,"Consistency Check (agreed label changed)",IF(COUNTIF('Consistency Check'!$A$5:$A$99,A113)&gt;0,"Consistency Check (agreed label confirmed)","Agreed label")))</f>
        <v>Agreed label</v>
      </c>
      <c r="F113" s="14" t="str">
        <f t="shared" si="6"/>
        <v/>
      </c>
      <c r="G113" s="14" t="str">
        <f t="shared" si="7"/>
        <v/>
      </c>
    </row>
    <row r="114" spans="1:7" ht="15" customHeight="1" x14ac:dyDescent="0.25">
      <c r="A114" s="14">
        <v>8578</v>
      </c>
      <c r="B114" s="14" t="str">
        <f>INDEX('Labeler 1'!$C$2:$C$181,MATCH(A114,'Labeler 1'!$A$2:$A$181,0))</f>
        <v>Money transfer or service</v>
      </c>
      <c r="C114" s="14" t="str">
        <f>INDEX('Labeler 2'!$C$2:$C$181,MATCH(A114,'Labeler 2'!$A$2:$A$181,0))</f>
        <v>Money transfer or service</v>
      </c>
      <c r="D114" s="16" t="str">
        <f>IF(COUNTIF('Resolution Log'!$A$5:$A$24,A114)&gt;0,INDEX('Resolution Log'!$G$5:$G$24,MATCH(A114,'Resolution Log'!$A$5:$A$24,0)),IF(COUNTIFS('Consistency Check'!$A$5:$A$99,A114,'Consistency Check'!$D$5:$D$99,"No")&gt;0,INDEX('Consistency Check'!$E$5:$E$99,MATCH(A114,'Consistency Check'!$A$5:$A$99,0)),C114))</f>
        <v>Money transfer or service</v>
      </c>
      <c r="E114" s="14" t="str">
        <f>IF(COUNTIF('Resolution Log'!$A$5:$A$24,A114)&gt;0,"Resolution Log (disagreement)",IF(COUNTIFS('Consistency Check'!$A$5:$A$99,A114,'Consistency Check'!$D$5:$D$99,"No")&gt;0,"Consistency Check (agreed label changed)",IF(COUNTIF('Consistency Check'!$A$5:$A$99,A114)&gt;0,"Consistency Check (agreed label confirmed)","Agreed label")))</f>
        <v>Consistency Check (agreed label confirmed)</v>
      </c>
      <c r="F114" s="14" t="str">
        <f t="shared" si="6"/>
        <v/>
      </c>
      <c r="G114" s="14" t="str">
        <f t="shared" si="7"/>
        <v/>
      </c>
    </row>
    <row r="115" spans="1:7" ht="15" customHeight="1" x14ac:dyDescent="0.25">
      <c r="A115" s="14">
        <v>8585</v>
      </c>
      <c r="B115" s="14" t="str">
        <f>INDEX('Labeler 1'!$C$2:$C$181,MATCH(A115,'Labeler 1'!$A$2:$A$181,0))</f>
        <v>Credit card</v>
      </c>
      <c r="C115" s="14" t="str">
        <f>INDEX('Labeler 2'!$C$2:$C$181,MATCH(A115,'Labeler 2'!$A$2:$A$181,0))</f>
        <v>Credit card</v>
      </c>
      <c r="D115" s="16" t="str">
        <f>IF(COUNTIF('Resolution Log'!$A$5:$A$24,A115)&gt;0,INDEX('Resolution Log'!$G$5:$G$24,MATCH(A115,'Resolution Log'!$A$5:$A$24,0)),IF(COUNTIFS('Consistency Check'!$A$5:$A$99,A115,'Consistency Check'!$D$5:$D$99,"No")&gt;0,INDEX('Consistency Check'!$E$5:$E$99,MATCH(A115,'Consistency Check'!$A$5:$A$99,0)),C115))</f>
        <v>Credit card</v>
      </c>
      <c r="E115" s="14" t="str">
        <f>IF(COUNTIF('Resolution Log'!$A$5:$A$24,A115)&gt;0,"Resolution Log (disagreement)",IF(COUNTIFS('Consistency Check'!$A$5:$A$99,A115,'Consistency Check'!$D$5:$D$99,"No")&gt;0,"Consistency Check (agreed label changed)",IF(COUNTIF('Consistency Check'!$A$5:$A$99,A115)&gt;0,"Consistency Check (agreed label confirmed)","Agreed label")))</f>
        <v>Consistency Check (agreed label confirmed)</v>
      </c>
      <c r="F115" s="14" t="str">
        <f t="shared" si="6"/>
        <v/>
      </c>
      <c r="G115" s="14" t="str">
        <f t="shared" si="7"/>
        <v/>
      </c>
    </row>
    <row r="116" spans="1:7" ht="15" customHeight="1" x14ac:dyDescent="0.25">
      <c r="A116" s="14">
        <v>8586</v>
      </c>
      <c r="B116" s="14" t="str">
        <f>INDEX('Labeler 1'!$C$2:$C$181,MATCH(A116,'Labeler 1'!$A$2:$A$181,0))</f>
        <v>Credit reporting</v>
      </c>
      <c r="C116" s="14" t="str">
        <f>INDEX('Labeler 2'!$C$2:$C$181,MATCH(A116,'Labeler 2'!$A$2:$A$181,0))</f>
        <v>Credit reporting</v>
      </c>
      <c r="D116" s="16" t="str">
        <f>IF(COUNTIF('Resolution Log'!$A$5:$A$24,A116)&gt;0,INDEX('Resolution Log'!$G$5:$G$24,MATCH(A116,'Resolution Log'!$A$5:$A$24,0)),IF(COUNTIFS('Consistency Check'!$A$5:$A$99,A116,'Consistency Check'!$D$5:$D$99,"No")&gt;0,INDEX('Consistency Check'!$E$5:$E$99,MATCH(A116,'Consistency Check'!$A$5:$A$99,0)),C116))</f>
        <v>Credit reporting</v>
      </c>
      <c r="E116" s="14" t="str">
        <f>IF(COUNTIF('Resolution Log'!$A$5:$A$24,A116)&gt;0,"Resolution Log (disagreement)",IF(COUNTIFS('Consistency Check'!$A$5:$A$99,A116,'Consistency Check'!$D$5:$D$99,"No")&gt;0,"Consistency Check (agreed label changed)",IF(COUNTIF('Consistency Check'!$A$5:$A$99,A116)&gt;0,"Consistency Check (agreed label confirmed)","Agreed label")))</f>
        <v>Agreed label</v>
      </c>
      <c r="F116" s="14" t="str">
        <f t="shared" si="6"/>
        <v/>
      </c>
      <c r="G116" s="14" t="str">
        <f t="shared" si="7"/>
        <v/>
      </c>
    </row>
    <row r="117" spans="1:7" ht="15" customHeight="1" x14ac:dyDescent="0.25">
      <c r="A117" s="14">
        <v>8591</v>
      </c>
      <c r="B117" s="14" t="str">
        <f>INDEX('Labeler 1'!$C$2:$C$181,MATCH(A117,'Labeler 1'!$A$2:$A$181,0))</f>
        <v>Credit reporting</v>
      </c>
      <c r="C117" s="14" t="str">
        <f>INDEX('Labeler 2'!$C$2:$C$181,MATCH(A117,'Labeler 2'!$A$2:$A$181,0))</f>
        <v>Credit reporting</v>
      </c>
      <c r="D117" s="16" t="str">
        <f>IF(COUNTIF('Resolution Log'!$A$5:$A$24,A117)&gt;0,INDEX('Resolution Log'!$G$5:$G$24,MATCH(A117,'Resolution Log'!$A$5:$A$24,0)),IF(COUNTIFS('Consistency Check'!$A$5:$A$99,A117,'Consistency Check'!$D$5:$D$99,"No")&gt;0,INDEX('Consistency Check'!$E$5:$E$99,MATCH(A117,'Consistency Check'!$A$5:$A$99,0)),C117))</f>
        <v>Credit reporting</v>
      </c>
      <c r="E117" s="14" t="str">
        <f>IF(COUNTIF('Resolution Log'!$A$5:$A$24,A117)&gt;0,"Resolution Log (disagreement)",IF(COUNTIFS('Consistency Check'!$A$5:$A$99,A117,'Consistency Check'!$D$5:$D$99,"No")&gt;0,"Consistency Check (agreed label changed)",IF(COUNTIF('Consistency Check'!$A$5:$A$99,A117)&gt;0,"Consistency Check (agreed label confirmed)","Agreed label")))</f>
        <v>Agreed label</v>
      </c>
      <c r="F117" s="14" t="str">
        <f t="shared" si="6"/>
        <v/>
      </c>
      <c r="G117" s="14" t="str">
        <f t="shared" si="7"/>
        <v/>
      </c>
    </row>
    <row r="118" spans="1:7" ht="15" customHeight="1" x14ac:dyDescent="0.25">
      <c r="A118" s="14">
        <v>8593</v>
      </c>
      <c r="B118" s="14" t="str">
        <f>INDEX('Labeler 1'!$C$2:$C$181,MATCH(A118,'Labeler 1'!$A$2:$A$181,0))</f>
        <v>Credit reporting</v>
      </c>
      <c r="C118" s="14" t="str">
        <f>INDEX('Labeler 2'!$C$2:$C$181,MATCH(A118,'Labeler 2'!$A$2:$A$181,0))</f>
        <v>Credit reporting</v>
      </c>
      <c r="D118" s="16" t="str">
        <f>IF(COUNTIF('Resolution Log'!$A$5:$A$24,A118)&gt;0,INDEX('Resolution Log'!$G$5:$G$24,MATCH(A118,'Resolution Log'!$A$5:$A$24,0)),IF(COUNTIFS('Consistency Check'!$A$5:$A$99,A118,'Consistency Check'!$D$5:$D$99,"No")&gt;0,INDEX('Consistency Check'!$E$5:$E$99,MATCH(A118,'Consistency Check'!$A$5:$A$99,0)),C118))</f>
        <v>Credit reporting</v>
      </c>
      <c r="E118" s="14" t="str">
        <f>IF(COUNTIF('Resolution Log'!$A$5:$A$24,A118)&gt;0,"Resolution Log (disagreement)",IF(COUNTIFS('Consistency Check'!$A$5:$A$99,A118,'Consistency Check'!$D$5:$D$99,"No")&gt;0,"Consistency Check (agreed label changed)",IF(COUNTIF('Consistency Check'!$A$5:$A$99,A118)&gt;0,"Consistency Check (agreed label confirmed)","Agreed label")))</f>
        <v>Agreed label</v>
      </c>
      <c r="F118" s="14" t="str">
        <f t="shared" si="6"/>
        <v/>
      </c>
      <c r="G118" s="14" t="str">
        <f t="shared" si="7"/>
        <v/>
      </c>
    </row>
    <row r="119" spans="1:7" ht="15" customHeight="1" x14ac:dyDescent="0.25">
      <c r="A119" s="14">
        <v>8597</v>
      </c>
      <c r="B119" s="14" t="str">
        <f>INDEX('Labeler 1'!$C$2:$C$181,MATCH(A119,'Labeler 1'!$A$2:$A$181,0))</f>
        <v>Money transfer or service</v>
      </c>
      <c r="C119" s="14" t="str">
        <f>INDEX('Labeler 2'!$C$2:$C$181,MATCH(A119,'Labeler 2'!$A$2:$A$181,0))</f>
        <v>Money transfer or service</v>
      </c>
      <c r="D119" s="16" t="str">
        <f>IF(COUNTIF('Resolution Log'!$A$5:$A$24,A119)&gt;0,INDEX('Resolution Log'!$G$5:$G$24,MATCH(A119,'Resolution Log'!$A$5:$A$24,0)),IF(COUNTIFS('Consistency Check'!$A$5:$A$99,A119,'Consistency Check'!$D$5:$D$99,"No")&gt;0,INDEX('Consistency Check'!$E$5:$E$99,MATCH(A119,'Consistency Check'!$A$5:$A$99,0)),C119))</f>
        <v>Bank account or service</v>
      </c>
      <c r="E119" s="14" t="str">
        <f>IF(COUNTIF('Resolution Log'!$A$5:$A$24,A119)&gt;0,"Resolution Log (disagreement)",IF(COUNTIFS('Consistency Check'!$A$5:$A$99,A119,'Consistency Check'!$D$5:$D$99,"No")&gt;0,"Consistency Check (agreed label changed)",IF(COUNTIF('Consistency Check'!$A$5:$A$99,A119)&gt;0,"Consistency Check (agreed label confirmed)","Agreed label")))</f>
        <v>Consistency Check (agreed label changed)</v>
      </c>
      <c r="F119" s="14" t="str">
        <f t="shared" si="6"/>
        <v>Yes</v>
      </c>
      <c r="G119" s="14" t="str">
        <f t="shared" si="7"/>
        <v>Yes</v>
      </c>
    </row>
    <row r="120" spans="1:7" ht="15" customHeight="1" x14ac:dyDescent="0.25">
      <c r="A120" s="14">
        <v>8601</v>
      </c>
      <c r="B120" s="14" t="str">
        <f>INDEX('Labeler 1'!$C$2:$C$181,MATCH(A120,'Labeler 1'!$A$2:$A$181,0))</f>
        <v>Mortgage</v>
      </c>
      <c r="C120" s="14" t="str">
        <f>INDEX('Labeler 2'!$C$2:$C$181,MATCH(A120,'Labeler 2'!$A$2:$A$181,0))</f>
        <v>Mortgage</v>
      </c>
      <c r="D120" s="16" t="str">
        <f>IF(COUNTIF('Resolution Log'!$A$5:$A$24,A120)&gt;0,INDEX('Resolution Log'!$G$5:$G$24,MATCH(A120,'Resolution Log'!$A$5:$A$24,0)),IF(COUNTIFS('Consistency Check'!$A$5:$A$99,A120,'Consistency Check'!$D$5:$D$99,"No")&gt;0,INDEX('Consistency Check'!$E$5:$E$99,MATCH(A120,'Consistency Check'!$A$5:$A$99,0)),C120))</f>
        <v>Mortgage</v>
      </c>
      <c r="E120" s="14" t="str">
        <f>IF(COUNTIF('Resolution Log'!$A$5:$A$24,A120)&gt;0,"Resolution Log (disagreement)",IF(COUNTIFS('Consistency Check'!$A$5:$A$99,A120,'Consistency Check'!$D$5:$D$99,"No")&gt;0,"Consistency Check (agreed label changed)",IF(COUNTIF('Consistency Check'!$A$5:$A$99,A120)&gt;0,"Consistency Check (agreed label confirmed)","Agreed label")))</f>
        <v>Agreed label</v>
      </c>
      <c r="F120" s="14" t="str">
        <f t="shared" si="6"/>
        <v/>
      </c>
      <c r="G120" s="14" t="str">
        <f t="shared" si="7"/>
        <v/>
      </c>
    </row>
    <row r="121" spans="1:7" ht="15" customHeight="1" x14ac:dyDescent="0.25">
      <c r="A121" s="14">
        <v>8603</v>
      </c>
      <c r="B121" s="14" t="str">
        <f>INDEX('Labeler 1'!$C$2:$C$181,MATCH(A121,'Labeler 1'!$A$2:$A$181,0))</f>
        <v>Bank account or service</v>
      </c>
      <c r="C121" s="14" t="str">
        <f>INDEX('Labeler 2'!$C$2:$C$181,MATCH(A121,'Labeler 2'!$A$2:$A$181,0))</f>
        <v>Bank account or service</v>
      </c>
      <c r="D121" s="16" t="str">
        <f>IF(COUNTIF('Resolution Log'!$A$5:$A$24,A121)&gt;0,INDEX('Resolution Log'!$G$5:$G$24,MATCH(A121,'Resolution Log'!$A$5:$A$24,0)),IF(COUNTIFS('Consistency Check'!$A$5:$A$99,A121,'Consistency Check'!$D$5:$D$99,"No")&gt;0,INDEX('Consistency Check'!$E$5:$E$99,MATCH(A121,'Consistency Check'!$A$5:$A$99,0)),C121))</f>
        <v>Bank account or service</v>
      </c>
      <c r="E121" s="14" t="str">
        <f>IF(COUNTIF('Resolution Log'!$A$5:$A$24,A121)&gt;0,"Resolution Log (disagreement)",IF(COUNTIFS('Consistency Check'!$A$5:$A$99,A121,'Consistency Check'!$D$5:$D$99,"No")&gt;0,"Consistency Check (agreed label changed)",IF(COUNTIF('Consistency Check'!$A$5:$A$99,A121)&gt;0,"Consistency Check (agreed label confirmed)","Agreed label")))</f>
        <v>Consistency Check (agreed label confirmed)</v>
      </c>
      <c r="F121" s="14" t="str">
        <f t="shared" si="6"/>
        <v/>
      </c>
      <c r="G121" s="14" t="str">
        <f t="shared" si="7"/>
        <v/>
      </c>
    </row>
    <row r="122" spans="1:7" ht="15" customHeight="1" x14ac:dyDescent="0.25">
      <c r="A122" s="14">
        <v>8608</v>
      </c>
      <c r="B122" s="14" t="str">
        <f>INDEX('Labeler 1'!$C$2:$C$181,MATCH(A122,'Labeler 1'!$A$2:$A$181,0))</f>
        <v>Mortgage</v>
      </c>
      <c r="C122" s="14" t="str">
        <f>INDEX('Labeler 2'!$C$2:$C$181,MATCH(A122,'Labeler 2'!$A$2:$A$181,0))</f>
        <v>Mortgage</v>
      </c>
      <c r="D122" s="16" t="str">
        <f>IF(COUNTIF('Resolution Log'!$A$5:$A$24,A122)&gt;0,INDEX('Resolution Log'!$G$5:$G$24,MATCH(A122,'Resolution Log'!$A$5:$A$24,0)),IF(COUNTIFS('Consistency Check'!$A$5:$A$99,A122,'Consistency Check'!$D$5:$D$99,"No")&gt;0,INDEX('Consistency Check'!$E$5:$E$99,MATCH(A122,'Consistency Check'!$A$5:$A$99,0)),C122))</f>
        <v>Mortgage</v>
      </c>
      <c r="E122" s="14" t="str">
        <f>IF(COUNTIF('Resolution Log'!$A$5:$A$24,A122)&gt;0,"Resolution Log (disagreement)",IF(COUNTIFS('Consistency Check'!$A$5:$A$99,A122,'Consistency Check'!$D$5:$D$99,"No")&gt;0,"Consistency Check (agreed label changed)",IF(COUNTIF('Consistency Check'!$A$5:$A$99,A122)&gt;0,"Consistency Check (agreed label confirmed)","Agreed label")))</f>
        <v>Agreed label</v>
      </c>
      <c r="F122" s="14" t="str">
        <f t="shared" si="6"/>
        <v/>
      </c>
      <c r="G122" s="14" t="str">
        <f t="shared" si="7"/>
        <v/>
      </c>
    </row>
    <row r="123" spans="1:7" ht="15" customHeight="1" x14ac:dyDescent="0.25">
      <c r="A123" s="14">
        <v>8609</v>
      </c>
      <c r="B123" s="14" t="str">
        <f>INDEX('Labeler 1'!$C$2:$C$181,MATCH(A123,'Labeler 1'!$A$2:$A$181,0))</f>
        <v>Debt collection</v>
      </c>
      <c r="C123" s="14" t="str">
        <f>INDEX('Labeler 2'!$C$2:$C$181,MATCH(A123,'Labeler 2'!$A$2:$A$181,0))</f>
        <v>Debt collection</v>
      </c>
      <c r="D123" s="16" t="str">
        <f>IF(COUNTIF('Resolution Log'!$A$5:$A$24,A123)&gt;0,INDEX('Resolution Log'!$G$5:$G$24,MATCH(A123,'Resolution Log'!$A$5:$A$24,0)),IF(COUNTIFS('Consistency Check'!$A$5:$A$99,A123,'Consistency Check'!$D$5:$D$99,"No")&gt;0,INDEX('Consistency Check'!$E$5:$E$99,MATCH(A123,'Consistency Check'!$A$5:$A$99,0)),C123))</f>
        <v>Debt collection</v>
      </c>
      <c r="E123" s="14" t="str">
        <f>IF(COUNTIF('Resolution Log'!$A$5:$A$24,A123)&gt;0,"Resolution Log (disagreement)",IF(COUNTIFS('Consistency Check'!$A$5:$A$99,A123,'Consistency Check'!$D$5:$D$99,"No")&gt;0,"Consistency Check (agreed label changed)",IF(COUNTIF('Consistency Check'!$A$5:$A$99,A123)&gt;0,"Consistency Check (agreed label confirmed)","Agreed label")))</f>
        <v>Agreed label</v>
      </c>
      <c r="F123" s="14" t="str">
        <f t="shared" si="6"/>
        <v/>
      </c>
      <c r="G123" s="14" t="str">
        <f t="shared" si="7"/>
        <v/>
      </c>
    </row>
    <row r="124" spans="1:7" ht="15" customHeight="1" x14ac:dyDescent="0.25">
      <c r="A124" s="14">
        <v>8612</v>
      </c>
      <c r="B124" s="14" t="str">
        <f>INDEX('Labeler 1'!$C$2:$C$181,MATCH(A124,'Labeler 1'!$A$2:$A$181,0))</f>
        <v>Credit reporting</v>
      </c>
      <c r="C124" s="14" t="str">
        <f>INDEX('Labeler 2'!$C$2:$C$181,MATCH(A124,'Labeler 2'!$A$2:$A$181,0))</f>
        <v>Credit reporting</v>
      </c>
      <c r="D124" s="16" t="str">
        <f>IF(COUNTIF('Resolution Log'!$A$5:$A$24,A124)&gt;0,INDEX('Resolution Log'!$G$5:$G$24,MATCH(A124,'Resolution Log'!$A$5:$A$24,0)),IF(COUNTIFS('Consistency Check'!$A$5:$A$99,A124,'Consistency Check'!$D$5:$D$99,"No")&gt;0,INDEX('Consistency Check'!$E$5:$E$99,MATCH(A124,'Consistency Check'!$A$5:$A$99,0)),C124))</f>
        <v>Credit reporting</v>
      </c>
      <c r="E124" s="14" t="str">
        <f>IF(COUNTIF('Resolution Log'!$A$5:$A$24,A124)&gt;0,"Resolution Log (disagreement)",IF(COUNTIFS('Consistency Check'!$A$5:$A$99,A124,'Consistency Check'!$D$5:$D$99,"No")&gt;0,"Consistency Check (agreed label changed)",IF(COUNTIF('Consistency Check'!$A$5:$A$99,A124)&gt;0,"Consistency Check (agreed label confirmed)","Agreed label")))</f>
        <v>Agreed label</v>
      </c>
      <c r="F124" s="14" t="str">
        <f t="shared" si="6"/>
        <v/>
      </c>
      <c r="G124" s="14" t="str">
        <f t="shared" si="7"/>
        <v/>
      </c>
    </row>
    <row r="125" spans="1:7" ht="15" customHeight="1" x14ac:dyDescent="0.25">
      <c r="A125" s="14">
        <v>8613</v>
      </c>
      <c r="B125" s="14" t="str">
        <f>INDEX('Labeler 1'!$C$2:$C$181,MATCH(A125,'Labeler 1'!$A$2:$A$181,0))</f>
        <v>Debt collection</v>
      </c>
      <c r="C125" s="14" t="str">
        <f>INDEX('Labeler 2'!$C$2:$C$181,MATCH(A125,'Labeler 2'!$A$2:$A$181,0))</f>
        <v>Debt collection</v>
      </c>
      <c r="D125" s="16" t="str">
        <f>IF(COUNTIF('Resolution Log'!$A$5:$A$24,A125)&gt;0,INDEX('Resolution Log'!$G$5:$G$24,MATCH(A125,'Resolution Log'!$A$5:$A$24,0)),IF(COUNTIFS('Consistency Check'!$A$5:$A$99,A125,'Consistency Check'!$D$5:$D$99,"No")&gt;0,INDEX('Consistency Check'!$E$5:$E$99,MATCH(A125,'Consistency Check'!$A$5:$A$99,0)),C125))</f>
        <v>Debt collection</v>
      </c>
      <c r="E125" s="14" t="str">
        <f>IF(COUNTIF('Resolution Log'!$A$5:$A$24,A125)&gt;0,"Resolution Log (disagreement)",IF(COUNTIFS('Consistency Check'!$A$5:$A$99,A125,'Consistency Check'!$D$5:$D$99,"No")&gt;0,"Consistency Check (agreed label changed)",IF(COUNTIF('Consistency Check'!$A$5:$A$99,A125)&gt;0,"Consistency Check (agreed label confirmed)","Agreed label")))</f>
        <v>Agreed label</v>
      </c>
      <c r="F125" s="14" t="str">
        <f t="shared" si="6"/>
        <v/>
      </c>
      <c r="G125" s="14" t="str">
        <f t="shared" si="7"/>
        <v/>
      </c>
    </row>
    <row r="126" spans="1:7" ht="15" customHeight="1" x14ac:dyDescent="0.25">
      <c r="A126" s="14">
        <v>8615</v>
      </c>
      <c r="B126" s="14" t="str">
        <f>INDEX('Labeler 1'!$C$2:$C$181,MATCH(A126,'Labeler 1'!$A$2:$A$181,0))</f>
        <v>Money transfer or service</v>
      </c>
      <c r="C126" s="14" t="str">
        <f>INDEX('Labeler 2'!$C$2:$C$181,MATCH(A126,'Labeler 2'!$A$2:$A$181,0))</f>
        <v>Money transfer or service</v>
      </c>
      <c r="D126" s="16" t="str">
        <f>IF(COUNTIF('Resolution Log'!$A$5:$A$24,A126)&gt;0,INDEX('Resolution Log'!$G$5:$G$24,MATCH(A126,'Resolution Log'!$A$5:$A$24,0)),IF(COUNTIFS('Consistency Check'!$A$5:$A$99,A126,'Consistency Check'!$D$5:$D$99,"No")&gt;0,INDEX('Consistency Check'!$E$5:$E$99,MATCH(A126,'Consistency Check'!$A$5:$A$99,0)),C126))</f>
        <v>Money transfer or service</v>
      </c>
      <c r="E126" s="14" t="str">
        <f>IF(COUNTIF('Resolution Log'!$A$5:$A$24,A126)&gt;0,"Resolution Log (disagreement)",IF(COUNTIFS('Consistency Check'!$A$5:$A$99,A126,'Consistency Check'!$D$5:$D$99,"No")&gt;0,"Consistency Check (agreed label changed)",IF(COUNTIF('Consistency Check'!$A$5:$A$99,A126)&gt;0,"Consistency Check (agreed label confirmed)","Agreed label")))</f>
        <v>Consistency Check (agreed label confirmed)</v>
      </c>
      <c r="F126" s="14" t="str">
        <f t="shared" si="6"/>
        <v/>
      </c>
      <c r="G126" s="14" t="str">
        <f t="shared" si="7"/>
        <v/>
      </c>
    </row>
    <row r="127" spans="1:7" ht="15" customHeight="1" x14ac:dyDescent="0.25">
      <c r="A127" s="14">
        <v>8632</v>
      </c>
      <c r="B127" s="14" t="str">
        <f>INDEX('Labeler 1'!$C$2:$C$181,MATCH(A127,'Labeler 1'!$A$2:$A$181,0))</f>
        <v>Credit reporting</v>
      </c>
      <c r="C127" s="14" t="str">
        <f>INDEX('Labeler 2'!$C$2:$C$181,MATCH(A127,'Labeler 2'!$A$2:$A$181,0))</f>
        <v>Credit reporting</v>
      </c>
      <c r="D127" s="16" t="str">
        <f>IF(COUNTIF('Resolution Log'!$A$5:$A$24,A127)&gt;0,INDEX('Resolution Log'!$G$5:$G$24,MATCH(A127,'Resolution Log'!$A$5:$A$24,0)),IF(COUNTIFS('Consistency Check'!$A$5:$A$99,A127,'Consistency Check'!$D$5:$D$99,"No")&gt;0,INDEX('Consistency Check'!$E$5:$E$99,MATCH(A127,'Consistency Check'!$A$5:$A$99,0)),C127))</f>
        <v>Credit reporting</v>
      </c>
      <c r="E127" s="14" t="str">
        <f>IF(COUNTIF('Resolution Log'!$A$5:$A$24,A127)&gt;0,"Resolution Log (disagreement)",IF(COUNTIFS('Consistency Check'!$A$5:$A$99,A127,'Consistency Check'!$D$5:$D$99,"No")&gt;0,"Consistency Check (agreed label changed)",IF(COUNTIF('Consistency Check'!$A$5:$A$99,A127)&gt;0,"Consistency Check (agreed label confirmed)","Agreed label")))</f>
        <v>Agreed label</v>
      </c>
      <c r="F127" s="14" t="str">
        <f t="shared" si="6"/>
        <v/>
      </c>
      <c r="G127" s="14" t="str">
        <f t="shared" si="7"/>
        <v/>
      </c>
    </row>
    <row r="128" spans="1:7" ht="15" customHeight="1" x14ac:dyDescent="0.25">
      <c r="A128" s="14">
        <v>8638</v>
      </c>
      <c r="B128" s="14" t="str">
        <f>INDEX('Labeler 1'!$C$2:$C$181,MATCH(A128,'Labeler 1'!$A$2:$A$181,0))</f>
        <v>Consumer loan</v>
      </c>
      <c r="C128" s="14" t="str">
        <f>INDEX('Labeler 2'!$C$2:$C$181,MATCH(A128,'Labeler 2'!$A$2:$A$181,0))</f>
        <v>Consumer loan</v>
      </c>
      <c r="D128" s="16" t="str">
        <f>IF(COUNTIF('Resolution Log'!$A$5:$A$24,A128)&gt;0,INDEX('Resolution Log'!$G$5:$G$24,MATCH(A128,'Resolution Log'!$A$5:$A$24,0)),IF(COUNTIFS('Consistency Check'!$A$5:$A$99,A128,'Consistency Check'!$D$5:$D$99,"No")&gt;0,INDEX('Consistency Check'!$E$5:$E$99,MATCH(A128,'Consistency Check'!$A$5:$A$99,0)),C128))</f>
        <v>Consumer loan</v>
      </c>
      <c r="E128" s="14" t="str">
        <f>IF(COUNTIF('Resolution Log'!$A$5:$A$24,A128)&gt;0,"Resolution Log (disagreement)",IF(COUNTIFS('Consistency Check'!$A$5:$A$99,A128,'Consistency Check'!$D$5:$D$99,"No")&gt;0,"Consistency Check (agreed label changed)",IF(COUNTIF('Consistency Check'!$A$5:$A$99,A128)&gt;0,"Consistency Check (agreed label confirmed)","Agreed label")))</f>
        <v>Agreed label</v>
      </c>
      <c r="F128" s="14" t="str">
        <f t="shared" si="6"/>
        <v/>
      </c>
      <c r="G128" s="14" t="str">
        <f t="shared" si="7"/>
        <v/>
      </c>
    </row>
    <row r="129" spans="1:7" ht="15" customHeight="1" x14ac:dyDescent="0.25">
      <c r="A129" s="14">
        <v>8644</v>
      </c>
      <c r="B129" s="14" t="str">
        <f>INDEX('Labeler 1'!$C$2:$C$181,MATCH(A129,'Labeler 1'!$A$2:$A$181,0))</f>
        <v>Consumer loan</v>
      </c>
      <c r="C129" s="14" t="str">
        <f>INDEX('Labeler 2'!$C$2:$C$181,MATCH(A129,'Labeler 2'!$A$2:$A$181,0))</f>
        <v>Consumer loan</v>
      </c>
      <c r="D129" s="16" t="str">
        <f>IF(COUNTIF('Resolution Log'!$A$5:$A$24,A129)&gt;0,INDEX('Resolution Log'!$G$5:$G$24,MATCH(A129,'Resolution Log'!$A$5:$A$24,0)),IF(COUNTIFS('Consistency Check'!$A$5:$A$99,A129,'Consistency Check'!$D$5:$D$99,"No")&gt;0,INDEX('Consistency Check'!$E$5:$E$99,MATCH(A129,'Consistency Check'!$A$5:$A$99,0)),C129))</f>
        <v>Consumer loan</v>
      </c>
      <c r="E129" s="14" t="str">
        <f>IF(COUNTIF('Resolution Log'!$A$5:$A$24,A129)&gt;0,"Resolution Log (disagreement)",IF(COUNTIFS('Consistency Check'!$A$5:$A$99,A129,'Consistency Check'!$D$5:$D$99,"No")&gt;0,"Consistency Check (agreed label changed)",IF(COUNTIF('Consistency Check'!$A$5:$A$99,A129)&gt;0,"Consistency Check (agreed label confirmed)","Agreed label")))</f>
        <v>Consistency Check (agreed label confirmed)</v>
      </c>
      <c r="F129" s="14" t="str">
        <f t="shared" si="6"/>
        <v/>
      </c>
      <c r="G129" s="14" t="str">
        <f t="shared" si="7"/>
        <v/>
      </c>
    </row>
    <row r="130" spans="1:7" ht="15" customHeight="1" x14ac:dyDescent="0.25">
      <c r="A130" s="14">
        <v>8649</v>
      </c>
      <c r="B130" s="14" t="str">
        <f>INDEX('Labeler 1'!$C$2:$C$181,MATCH(A130,'Labeler 1'!$A$2:$A$181,0))</f>
        <v>Money transfer or service</v>
      </c>
      <c r="C130" s="14" t="str">
        <f>INDEX('Labeler 2'!$C$2:$C$181,MATCH(A130,'Labeler 2'!$A$2:$A$181,0))</f>
        <v>Money transfer or service</v>
      </c>
      <c r="D130" s="16" t="str">
        <f>IF(COUNTIF('Resolution Log'!$A$5:$A$24,A130)&gt;0,INDEX('Resolution Log'!$G$5:$G$24,MATCH(A130,'Resolution Log'!$A$5:$A$24,0)),IF(COUNTIFS('Consistency Check'!$A$5:$A$99,A130,'Consistency Check'!$D$5:$D$99,"No")&gt;0,INDEX('Consistency Check'!$E$5:$E$99,MATCH(A130,'Consistency Check'!$A$5:$A$99,0)),C130))</f>
        <v>Money transfer or service</v>
      </c>
      <c r="E130" s="14" t="str">
        <f>IF(COUNTIF('Resolution Log'!$A$5:$A$24,A130)&gt;0,"Resolution Log (disagreement)",IF(COUNTIFS('Consistency Check'!$A$5:$A$99,A130,'Consistency Check'!$D$5:$D$99,"No")&gt;0,"Consistency Check (agreed label changed)",IF(COUNTIF('Consistency Check'!$A$5:$A$99,A130)&gt;0,"Consistency Check (agreed label confirmed)","Agreed label")))</f>
        <v>Consistency Check (agreed label confirmed)</v>
      </c>
      <c r="F130" s="14" t="str">
        <f t="shared" si="6"/>
        <v/>
      </c>
      <c r="G130" s="14" t="str">
        <f t="shared" si="7"/>
        <v/>
      </c>
    </row>
    <row r="131" spans="1:7" ht="15" customHeight="1" x14ac:dyDescent="0.25">
      <c r="A131" s="14">
        <v>8661</v>
      </c>
      <c r="B131" s="14" t="str">
        <f>INDEX('Labeler 1'!$C$2:$C$181,MATCH(A131,'Labeler 1'!$A$2:$A$181,0))</f>
        <v>Credit reporting</v>
      </c>
      <c r="C131" s="14" t="str">
        <f>INDEX('Labeler 2'!$C$2:$C$181,MATCH(A131,'Labeler 2'!$A$2:$A$181,0))</f>
        <v>Credit reporting</v>
      </c>
      <c r="D131" s="16" t="str">
        <f>IF(COUNTIF('Resolution Log'!$A$5:$A$24,A131)&gt;0,INDEX('Resolution Log'!$G$5:$G$24,MATCH(A131,'Resolution Log'!$A$5:$A$24,0)),IF(COUNTIFS('Consistency Check'!$A$5:$A$99,A131,'Consistency Check'!$D$5:$D$99,"No")&gt;0,INDEX('Consistency Check'!$E$5:$E$99,MATCH(A131,'Consistency Check'!$A$5:$A$99,0)),C131))</f>
        <v>Credit reporting</v>
      </c>
      <c r="E131" s="14" t="str">
        <f>IF(COUNTIF('Resolution Log'!$A$5:$A$24,A131)&gt;0,"Resolution Log (disagreement)",IF(COUNTIFS('Consistency Check'!$A$5:$A$99,A131,'Consistency Check'!$D$5:$D$99,"No")&gt;0,"Consistency Check (agreed label changed)",IF(COUNTIF('Consistency Check'!$A$5:$A$99,A131)&gt;0,"Consistency Check (agreed label confirmed)","Agreed label")))</f>
        <v>Agreed label</v>
      </c>
      <c r="F131" s="14" t="str">
        <f t="shared" si="6"/>
        <v/>
      </c>
      <c r="G131" s="14" t="str">
        <f t="shared" si="7"/>
        <v/>
      </c>
    </row>
    <row r="132" spans="1:7" ht="15" customHeight="1" x14ac:dyDescent="0.25">
      <c r="A132" s="14">
        <v>8663</v>
      </c>
      <c r="B132" s="14" t="str">
        <f>INDEX('Labeler 1'!$C$2:$C$181,MATCH(A132,'Labeler 1'!$A$2:$A$181,0))</f>
        <v>Credit reporting</v>
      </c>
      <c r="C132" s="14" t="str">
        <f>INDEX('Labeler 2'!$C$2:$C$181,MATCH(A132,'Labeler 2'!$A$2:$A$181,0))</f>
        <v>Debt collection</v>
      </c>
      <c r="D132" s="16" t="str">
        <f>IF(COUNTIF('Resolution Log'!$A$5:$A$24,A132)&gt;0,INDEX('Resolution Log'!$G$5:$G$24,MATCH(A132,'Resolution Log'!$A$5:$A$24,0)),IF(COUNTIFS('Consistency Check'!$A$5:$A$99,A132,'Consistency Check'!$D$5:$D$99,"No")&gt;0,INDEX('Consistency Check'!$E$5:$E$99,MATCH(A132,'Consistency Check'!$A$5:$A$99,0)),C132))</f>
        <v>Credit reporting</v>
      </c>
      <c r="E132" s="14" t="str">
        <f>IF(COUNTIF('Resolution Log'!$A$5:$A$24,A132)&gt;0,"Resolution Log (disagreement)",IF(COUNTIFS('Consistency Check'!$A$5:$A$99,A132,'Consistency Check'!$D$5:$D$99,"No")&gt;0,"Consistency Check (agreed label changed)",IF(COUNTIF('Consistency Check'!$A$5:$A$99,A132)&gt;0,"Consistency Check (agreed label confirmed)","Agreed label")))</f>
        <v>Resolution Log (disagreement)</v>
      </c>
      <c r="F132" s="14" t="str">
        <f t="shared" si="6"/>
        <v/>
      </c>
      <c r="G132" s="14" t="str">
        <f t="shared" si="7"/>
        <v>Yes</v>
      </c>
    </row>
    <row r="133" spans="1:7" ht="15" customHeight="1" x14ac:dyDescent="0.25">
      <c r="A133" s="14">
        <v>8669</v>
      </c>
      <c r="B133" s="14" t="str">
        <f>INDEX('Labeler 1'!$C$2:$C$181,MATCH(A133,'Labeler 1'!$A$2:$A$181,0))</f>
        <v>Credit reporting</v>
      </c>
      <c r="C133" s="14" t="str">
        <f>INDEX('Labeler 2'!$C$2:$C$181,MATCH(A133,'Labeler 2'!$A$2:$A$181,0))</f>
        <v>Credit reporting</v>
      </c>
      <c r="D133" s="16" t="str">
        <f>IF(COUNTIF('Resolution Log'!$A$5:$A$24,A133)&gt;0,INDEX('Resolution Log'!$G$5:$G$24,MATCH(A133,'Resolution Log'!$A$5:$A$24,0)),IF(COUNTIFS('Consistency Check'!$A$5:$A$99,A133,'Consistency Check'!$D$5:$D$99,"No")&gt;0,INDEX('Consistency Check'!$E$5:$E$99,MATCH(A133,'Consistency Check'!$A$5:$A$99,0)),C133))</f>
        <v>Credit reporting</v>
      </c>
      <c r="E133" s="14" t="str">
        <f>IF(COUNTIF('Resolution Log'!$A$5:$A$24,A133)&gt;0,"Resolution Log (disagreement)",IF(COUNTIFS('Consistency Check'!$A$5:$A$99,A133,'Consistency Check'!$D$5:$D$99,"No")&gt;0,"Consistency Check (agreed label changed)",IF(COUNTIF('Consistency Check'!$A$5:$A$99,A133)&gt;0,"Consistency Check (agreed label confirmed)","Agreed label")))</f>
        <v>Agreed label</v>
      </c>
      <c r="F133" s="14" t="str">
        <f t="shared" ref="F133:F164" si="8">IF(D133&lt;&gt;B133,"Yes","")</f>
        <v/>
      </c>
      <c r="G133" s="14" t="str">
        <f t="shared" ref="G133:G164" si="9">IF(D133&lt;&gt;C133,"Yes","")</f>
        <v/>
      </c>
    </row>
    <row r="134" spans="1:7" ht="15" customHeight="1" x14ac:dyDescent="0.25">
      <c r="A134" s="14">
        <v>8671</v>
      </c>
      <c r="B134" s="14" t="str">
        <f>INDEX('Labeler 1'!$C$2:$C$181,MATCH(A134,'Labeler 1'!$A$2:$A$181,0))</f>
        <v>Credit reporting</v>
      </c>
      <c r="C134" s="14" t="str">
        <f>INDEX('Labeler 2'!$C$2:$C$181,MATCH(A134,'Labeler 2'!$A$2:$A$181,0))</f>
        <v>Credit reporting</v>
      </c>
      <c r="D134" s="16" t="str">
        <f>IF(COUNTIF('Resolution Log'!$A$5:$A$24,A134)&gt;0,INDEX('Resolution Log'!$G$5:$G$24,MATCH(A134,'Resolution Log'!$A$5:$A$24,0)),IF(COUNTIFS('Consistency Check'!$A$5:$A$99,A134,'Consistency Check'!$D$5:$D$99,"No")&gt;0,INDEX('Consistency Check'!$E$5:$E$99,MATCH(A134,'Consistency Check'!$A$5:$A$99,0)),C134))</f>
        <v>Credit reporting</v>
      </c>
      <c r="E134" s="14" t="str">
        <f>IF(COUNTIF('Resolution Log'!$A$5:$A$24,A134)&gt;0,"Resolution Log (disagreement)",IF(COUNTIFS('Consistency Check'!$A$5:$A$99,A134,'Consistency Check'!$D$5:$D$99,"No")&gt;0,"Consistency Check (agreed label changed)",IF(COUNTIF('Consistency Check'!$A$5:$A$99,A134)&gt;0,"Consistency Check (agreed label confirmed)","Agreed label")))</f>
        <v>Agreed label</v>
      </c>
      <c r="F134" s="14" t="str">
        <f t="shared" si="8"/>
        <v/>
      </c>
      <c r="G134" s="14" t="str">
        <f t="shared" si="9"/>
        <v/>
      </c>
    </row>
    <row r="135" spans="1:7" ht="15" customHeight="1" x14ac:dyDescent="0.25">
      <c r="A135" s="14">
        <v>8679</v>
      </c>
      <c r="B135" s="14" t="str">
        <f>INDEX('Labeler 1'!$C$2:$C$181,MATCH(A135,'Labeler 1'!$A$2:$A$181,0))</f>
        <v>Mortgage</v>
      </c>
      <c r="C135" s="14" t="str">
        <f>INDEX('Labeler 2'!$C$2:$C$181,MATCH(A135,'Labeler 2'!$A$2:$A$181,0))</f>
        <v>Mortgage</v>
      </c>
      <c r="D135" s="16" t="str">
        <f>IF(COUNTIF('Resolution Log'!$A$5:$A$24,A135)&gt;0,INDEX('Resolution Log'!$G$5:$G$24,MATCH(A135,'Resolution Log'!$A$5:$A$24,0)),IF(COUNTIFS('Consistency Check'!$A$5:$A$99,A135,'Consistency Check'!$D$5:$D$99,"No")&gt;0,INDEX('Consistency Check'!$E$5:$E$99,MATCH(A135,'Consistency Check'!$A$5:$A$99,0)),C135))</f>
        <v>Mortgage</v>
      </c>
      <c r="E135" s="14" t="str">
        <f>IF(COUNTIF('Resolution Log'!$A$5:$A$24,A135)&gt;0,"Resolution Log (disagreement)",IF(COUNTIFS('Consistency Check'!$A$5:$A$99,A135,'Consistency Check'!$D$5:$D$99,"No")&gt;0,"Consistency Check (agreed label changed)",IF(COUNTIF('Consistency Check'!$A$5:$A$99,A135)&gt;0,"Consistency Check (agreed label confirmed)","Agreed label")))</f>
        <v>Agreed label</v>
      </c>
      <c r="F135" s="14" t="str">
        <f t="shared" si="8"/>
        <v/>
      </c>
      <c r="G135" s="14" t="str">
        <f t="shared" si="9"/>
        <v/>
      </c>
    </row>
    <row r="136" spans="1:7" ht="15" customHeight="1" x14ac:dyDescent="0.25">
      <c r="A136" s="14">
        <v>8680</v>
      </c>
      <c r="B136" s="14" t="str">
        <f>INDEX('Labeler 1'!$C$2:$C$181,MATCH(A136,'Labeler 1'!$A$2:$A$181,0))</f>
        <v>Bank account or service</v>
      </c>
      <c r="C136" s="14" t="str">
        <f>INDEX('Labeler 2'!$C$2:$C$181,MATCH(A136,'Labeler 2'!$A$2:$A$181,0))</f>
        <v>Bank account or service</v>
      </c>
      <c r="D136" s="16" t="str">
        <f>IF(COUNTIF('Resolution Log'!$A$5:$A$24,A136)&gt;0,INDEX('Resolution Log'!$G$5:$G$24,MATCH(A136,'Resolution Log'!$A$5:$A$24,0)),IF(COUNTIFS('Consistency Check'!$A$5:$A$99,A136,'Consistency Check'!$D$5:$D$99,"No")&gt;0,INDEX('Consistency Check'!$E$5:$E$99,MATCH(A136,'Consistency Check'!$A$5:$A$99,0)),C136))</f>
        <v>Bank account or service</v>
      </c>
      <c r="E136" s="14" t="str">
        <f>IF(COUNTIF('Resolution Log'!$A$5:$A$24,A136)&gt;0,"Resolution Log (disagreement)",IF(COUNTIFS('Consistency Check'!$A$5:$A$99,A136,'Consistency Check'!$D$5:$D$99,"No")&gt;0,"Consistency Check (agreed label changed)",IF(COUNTIF('Consistency Check'!$A$5:$A$99,A136)&gt;0,"Consistency Check (agreed label confirmed)","Agreed label")))</f>
        <v>Agreed label</v>
      </c>
      <c r="F136" s="14" t="str">
        <f t="shared" si="8"/>
        <v/>
      </c>
      <c r="G136" s="14" t="str">
        <f t="shared" si="9"/>
        <v/>
      </c>
    </row>
    <row r="137" spans="1:7" ht="15" customHeight="1" x14ac:dyDescent="0.25">
      <c r="A137" s="14">
        <v>8683</v>
      </c>
      <c r="B137" s="14" t="str">
        <f>INDEX('Labeler 1'!$C$2:$C$181,MATCH(A137,'Labeler 1'!$A$2:$A$181,0))</f>
        <v>Mortgage</v>
      </c>
      <c r="C137" s="14" t="str">
        <f>INDEX('Labeler 2'!$C$2:$C$181,MATCH(A137,'Labeler 2'!$A$2:$A$181,0))</f>
        <v>Mortgage</v>
      </c>
      <c r="D137" s="16" t="str">
        <f>IF(COUNTIF('Resolution Log'!$A$5:$A$24,A137)&gt;0,INDEX('Resolution Log'!$G$5:$G$24,MATCH(A137,'Resolution Log'!$A$5:$A$24,0)),IF(COUNTIFS('Consistency Check'!$A$5:$A$99,A137,'Consistency Check'!$D$5:$D$99,"No")&gt;0,INDEX('Consistency Check'!$E$5:$E$99,MATCH(A137,'Consistency Check'!$A$5:$A$99,0)),C137))</f>
        <v>Mortgage</v>
      </c>
      <c r="E137" s="14" t="str">
        <f>IF(COUNTIF('Resolution Log'!$A$5:$A$24,A137)&gt;0,"Resolution Log (disagreement)",IF(COUNTIFS('Consistency Check'!$A$5:$A$99,A137,'Consistency Check'!$D$5:$D$99,"No")&gt;0,"Consistency Check (agreed label changed)",IF(COUNTIF('Consistency Check'!$A$5:$A$99,A137)&gt;0,"Consistency Check (agreed label confirmed)","Agreed label")))</f>
        <v>Agreed label</v>
      </c>
      <c r="F137" s="14" t="str">
        <f t="shared" si="8"/>
        <v/>
      </c>
      <c r="G137" s="14" t="str">
        <f t="shared" si="9"/>
        <v/>
      </c>
    </row>
    <row r="138" spans="1:7" ht="15" customHeight="1" x14ac:dyDescent="0.25">
      <c r="A138" s="14">
        <v>8688</v>
      </c>
      <c r="B138" s="14" t="str">
        <f>INDEX('Labeler 1'!$C$2:$C$181,MATCH(A138,'Labeler 1'!$A$2:$A$181,0))</f>
        <v>Money transfer or service</v>
      </c>
      <c r="C138" s="14" t="str">
        <f>INDEX('Labeler 2'!$C$2:$C$181,MATCH(A138,'Labeler 2'!$A$2:$A$181,0))</f>
        <v>Money transfer or service</v>
      </c>
      <c r="D138" s="16" t="str">
        <f>IF(COUNTIF('Resolution Log'!$A$5:$A$24,A138)&gt;0,INDEX('Resolution Log'!$G$5:$G$24,MATCH(A138,'Resolution Log'!$A$5:$A$24,0)),IF(COUNTIFS('Consistency Check'!$A$5:$A$99,A138,'Consistency Check'!$D$5:$D$99,"No")&gt;0,INDEX('Consistency Check'!$E$5:$E$99,MATCH(A138,'Consistency Check'!$A$5:$A$99,0)),C138))</f>
        <v>Money transfer or service</v>
      </c>
      <c r="E138" s="14" t="str">
        <f>IF(COUNTIF('Resolution Log'!$A$5:$A$24,A138)&gt;0,"Resolution Log (disagreement)",IF(COUNTIFS('Consistency Check'!$A$5:$A$99,A138,'Consistency Check'!$D$5:$D$99,"No")&gt;0,"Consistency Check (agreed label changed)",IF(COUNTIF('Consistency Check'!$A$5:$A$99,A138)&gt;0,"Consistency Check (agreed label confirmed)","Agreed label")))</f>
        <v>Agreed label</v>
      </c>
      <c r="F138" s="14" t="str">
        <f t="shared" si="8"/>
        <v/>
      </c>
      <c r="G138" s="14" t="str">
        <f t="shared" si="9"/>
        <v/>
      </c>
    </row>
    <row r="139" spans="1:7" ht="15" customHeight="1" x14ac:dyDescent="0.25">
      <c r="A139" s="14">
        <v>8722</v>
      </c>
      <c r="B139" s="14" t="str">
        <f>INDEX('Labeler 1'!$C$2:$C$181,MATCH(A139,'Labeler 1'!$A$2:$A$181,0))</f>
        <v>Credit card</v>
      </c>
      <c r="C139" s="14" t="str">
        <f>INDEX('Labeler 2'!$C$2:$C$181,MATCH(A139,'Labeler 2'!$A$2:$A$181,0))</f>
        <v>Credit card</v>
      </c>
      <c r="D139" s="16" t="str">
        <f>IF(COUNTIF('Resolution Log'!$A$5:$A$24,A139)&gt;0,INDEX('Resolution Log'!$G$5:$G$24,MATCH(A139,'Resolution Log'!$A$5:$A$24,0)),IF(COUNTIFS('Consistency Check'!$A$5:$A$99,A139,'Consistency Check'!$D$5:$D$99,"No")&gt;0,INDEX('Consistency Check'!$E$5:$E$99,MATCH(A139,'Consistency Check'!$A$5:$A$99,0)),C139))</f>
        <v>Credit card</v>
      </c>
      <c r="E139" s="14" t="str">
        <f>IF(COUNTIF('Resolution Log'!$A$5:$A$24,A139)&gt;0,"Resolution Log (disagreement)",IF(COUNTIFS('Consistency Check'!$A$5:$A$99,A139,'Consistency Check'!$D$5:$D$99,"No")&gt;0,"Consistency Check (agreed label changed)",IF(COUNTIF('Consistency Check'!$A$5:$A$99,A139)&gt;0,"Consistency Check (agreed label confirmed)","Agreed label")))</f>
        <v>Consistency Check (agreed label confirmed)</v>
      </c>
      <c r="F139" s="14" t="str">
        <f t="shared" si="8"/>
        <v/>
      </c>
      <c r="G139" s="14" t="str">
        <f t="shared" si="9"/>
        <v/>
      </c>
    </row>
    <row r="140" spans="1:7" ht="15" customHeight="1" x14ac:dyDescent="0.25">
      <c r="A140" s="14">
        <v>8728</v>
      </c>
      <c r="B140" s="14" t="str">
        <f>INDEX('Labeler 1'!$C$2:$C$181,MATCH(A140,'Labeler 1'!$A$2:$A$181,0))</f>
        <v>Debt collection</v>
      </c>
      <c r="C140" s="14" t="str">
        <f>INDEX('Labeler 2'!$C$2:$C$181,MATCH(A140,'Labeler 2'!$A$2:$A$181,0))</f>
        <v>Debt collection</v>
      </c>
      <c r="D140" s="16" t="str">
        <f>IF(COUNTIF('Resolution Log'!$A$5:$A$24,A140)&gt;0,INDEX('Resolution Log'!$G$5:$G$24,MATCH(A140,'Resolution Log'!$A$5:$A$24,0)),IF(COUNTIFS('Consistency Check'!$A$5:$A$99,A140,'Consistency Check'!$D$5:$D$99,"No")&gt;0,INDEX('Consistency Check'!$E$5:$E$99,MATCH(A140,'Consistency Check'!$A$5:$A$99,0)),C140))</f>
        <v>Debt collection</v>
      </c>
      <c r="E140" s="14" t="str">
        <f>IF(COUNTIF('Resolution Log'!$A$5:$A$24,A140)&gt;0,"Resolution Log (disagreement)",IF(COUNTIFS('Consistency Check'!$A$5:$A$99,A140,'Consistency Check'!$D$5:$D$99,"No")&gt;0,"Consistency Check (agreed label changed)",IF(COUNTIF('Consistency Check'!$A$5:$A$99,A140)&gt;0,"Consistency Check (agreed label confirmed)","Agreed label")))</f>
        <v>Agreed label</v>
      </c>
      <c r="F140" s="14" t="str">
        <f t="shared" si="8"/>
        <v/>
      </c>
      <c r="G140" s="14" t="str">
        <f t="shared" si="9"/>
        <v/>
      </c>
    </row>
    <row r="141" spans="1:7" ht="15" customHeight="1" x14ac:dyDescent="0.25">
      <c r="A141" s="14">
        <v>8732</v>
      </c>
      <c r="B141" s="14" t="str">
        <f>INDEX('Labeler 1'!$C$2:$C$181,MATCH(A141,'Labeler 1'!$A$2:$A$181,0))</f>
        <v>Credit reporting</v>
      </c>
      <c r="C141" s="14" t="str">
        <f>INDEX('Labeler 2'!$C$2:$C$181,MATCH(A141,'Labeler 2'!$A$2:$A$181,0))</f>
        <v>Credit reporting</v>
      </c>
      <c r="D141" s="16" t="str">
        <f>IF(COUNTIF('Resolution Log'!$A$5:$A$24,A141)&gt;0,INDEX('Resolution Log'!$G$5:$G$24,MATCH(A141,'Resolution Log'!$A$5:$A$24,0)),IF(COUNTIFS('Consistency Check'!$A$5:$A$99,A141,'Consistency Check'!$D$5:$D$99,"No")&gt;0,INDEX('Consistency Check'!$E$5:$E$99,MATCH(A141,'Consistency Check'!$A$5:$A$99,0)),C141))</f>
        <v>Credit reporting</v>
      </c>
      <c r="E141" s="14" t="str">
        <f>IF(COUNTIF('Resolution Log'!$A$5:$A$24,A141)&gt;0,"Resolution Log (disagreement)",IF(COUNTIFS('Consistency Check'!$A$5:$A$99,A141,'Consistency Check'!$D$5:$D$99,"No")&gt;0,"Consistency Check (agreed label changed)",IF(COUNTIF('Consistency Check'!$A$5:$A$99,A141)&gt;0,"Consistency Check (agreed label confirmed)","Agreed label")))</f>
        <v>Agreed label</v>
      </c>
      <c r="F141" s="14" t="str">
        <f t="shared" si="8"/>
        <v/>
      </c>
      <c r="G141" s="14" t="str">
        <f t="shared" si="9"/>
        <v/>
      </c>
    </row>
    <row r="142" spans="1:7" ht="15" customHeight="1" x14ac:dyDescent="0.25">
      <c r="A142" s="14">
        <v>8733</v>
      </c>
      <c r="B142" s="14" t="str">
        <f>INDEX('Labeler 1'!$C$2:$C$181,MATCH(A142,'Labeler 1'!$A$2:$A$181,0))</f>
        <v>Consumer loan</v>
      </c>
      <c r="C142" s="14" t="str">
        <f>INDEX('Labeler 2'!$C$2:$C$181,MATCH(A142,'Labeler 2'!$A$2:$A$181,0))</f>
        <v>Consumer loan</v>
      </c>
      <c r="D142" s="16" t="str">
        <f>IF(COUNTIF('Resolution Log'!$A$5:$A$24,A142)&gt;0,INDEX('Resolution Log'!$G$5:$G$24,MATCH(A142,'Resolution Log'!$A$5:$A$24,0)),IF(COUNTIFS('Consistency Check'!$A$5:$A$99,A142,'Consistency Check'!$D$5:$D$99,"No")&gt;0,INDEX('Consistency Check'!$E$5:$E$99,MATCH(A142,'Consistency Check'!$A$5:$A$99,0)),C142))</f>
        <v>Consumer loan</v>
      </c>
      <c r="E142" s="14" t="str">
        <f>IF(COUNTIF('Resolution Log'!$A$5:$A$24,A142)&gt;0,"Resolution Log (disagreement)",IF(COUNTIFS('Consistency Check'!$A$5:$A$99,A142,'Consistency Check'!$D$5:$D$99,"No")&gt;0,"Consistency Check (agreed label changed)",IF(COUNTIF('Consistency Check'!$A$5:$A$99,A142)&gt;0,"Consistency Check (agreed label confirmed)","Agreed label")))</f>
        <v>Consistency Check (agreed label confirmed)</v>
      </c>
      <c r="F142" s="14" t="str">
        <f t="shared" si="8"/>
        <v/>
      </c>
      <c r="G142" s="14" t="str">
        <f t="shared" si="9"/>
        <v/>
      </c>
    </row>
    <row r="143" spans="1:7" ht="15" customHeight="1" x14ac:dyDescent="0.25">
      <c r="A143" s="14">
        <v>8734</v>
      </c>
      <c r="B143" s="14" t="str">
        <f>INDEX('Labeler 1'!$C$2:$C$181,MATCH(A143,'Labeler 1'!$A$2:$A$181,0))</f>
        <v>Credit card</v>
      </c>
      <c r="C143" s="14" t="str">
        <f>INDEX('Labeler 2'!$C$2:$C$181,MATCH(A143,'Labeler 2'!$A$2:$A$181,0))</f>
        <v>Credit card</v>
      </c>
      <c r="D143" s="16" t="str">
        <f>IF(COUNTIF('Resolution Log'!$A$5:$A$24,A143)&gt;0,INDEX('Resolution Log'!$G$5:$G$24,MATCH(A143,'Resolution Log'!$A$5:$A$24,0)),IF(COUNTIFS('Consistency Check'!$A$5:$A$99,A143,'Consistency Check'!$D$5:$D$99,"No")&gt;0,INDEX('Consistency Check'!$E$5:$E$99,MATCH(A143,'Consistency Check'!$A$5:$A$99,0)),C143))</f>
        <v>Credit card</v>
      </c>
      <c r="E143" s="14" t="str">
        <f>IF(COUNTIF('Resolution Log'!$A$5:$A$24,A143)&gt;0,"Resolution Log (disagreement)",IF(COUNTIFS('Consistency Check'!$A$5:$A$99,A143,'Consistency Check'!$D$5:$D$99,"No")&gt;0,"Consistency Check (agreed label changed)",IF(COUNTIF('Consistency Check'!$A$5:$A$99,A143)&gt;0,"Consistency Check (agreed label confirmed)","Agreed label")))</f>
        <v>Agreed label</v>
      </c>
      <c r="F143" s="14" t="str">
        <f t="shared" si="8"/>
        <v/>
      </c>
      <c r="G143" s="14" t="str">
        <f t="shared" si="9"/>
        <v/>
      </c>
    </row>
    <row r="144" spans="1:7" ht="15" customHeight="1" x14ac:dyDescent="0.25">
      <c r="A144" s="14">
        <v>8735</v>
      </c>
      <c r="B144" s="14" t="str">
        <f>INDEX('Labeler 1'!$C$2:$C$181,MATCH(A144,'Labeler 1'!$A$2:$A$181,0))</f>
        <v>Mortgage</v>
      </c>
      <c r="C144" s="14" t="str">
        <f>INDEX('Labeler 2'!$C$2:$C$181,MATCH(A144,'Labeler 2'!$A$2:$A$181,0))</f>
        <v>Mortgage</v>
      </c>
      <c r="D144" s="16" t="str">
        <f>IF(COUNTIF('Resolution Log'!$A$5:$A$24,A144)&gt;0,INDEX('Resolution Log'!$G$5:$G$24,MATCH(A144,'Resolution Log'!$A$5:$A$24,0)),IF(COUNTIFS('Consistency Check'!$A$5:$A$99,A144,'Consistency Check'!$D$5:$D$99,"No")&gt;0,INDEX('Consistency Check'!$E$5:$E$99,MATCH(A144,'Consistency Check'!$A$5:$A$99,0)),C144))</f>
        <v>Mortgage</v>
      </c>
      <c r="E144" s="14" t="str">
        <f>IF(COUNTIF('Resolution Log'!$A$5:$A$24,A144)&gt;0,"Resolution Log (disagreement)",IF(COUNTIFS('Consistency Check'!$A$5:$A$99,A144,'Consistency Check'!$D$5:$D$99,"No")&gt;0,"Consistency Check (agreed label changed)",IF(COUNTIF('Consistency Check'!$A$5:$A$99,A144)&gt;0,"Consistency Check (agreed label confirmed)","Agreed label")))</f>
        <v>Agreed label</v>
      </c>
      <c r="F144" s="14" t="str">
        <f t="shared" si="8"/>
        <v/>
      </c>
      <c r="G144" s="14" t="str">
        <f t="shared" si="9"/>
        <v/>
      </c>
    </row>
    <row r="145" spans="1:7" ht="15" customHeight="1" x14ac:dyDescent="0.25">
      <c r="A145" s="14">
        <v>8745</v>
      </c>
      <c r="B145" s="14" t="str">
        <f>INDEX('Labeler 1'!$C$2:$C$181,MATCH(A145,'Labeler 1'!$A$2:$A$181,0))</f>
        <v>Consumer loan</v>
      </c>
      <c r="C145" s="14" t="str">
        <f>INDEX('Labeler 2'!$C$2:$C$181,MATCH(A145,'Labeler 2'!$A$2:$A$181,0))</f>
        <v>Consumer loan</v>
      </c>
      <c r="D145" s="16" t="str">
        <f>IF(COUNTIF('Resolution Log'!$A$5:$A$24,A145)&gt;0,INDEX('Resolution Log'!$G$5:$G$24,MATCH(A145,'Resolution Log'!$A$5:$A$24,0)),IF(COUNTIFS('Consistency Check'!$A$5:$A$99,A145,'Consistency Check'!$D$5:$D$99,"No")&gt;0,INDEX('Consistency Check'!$E$5:$E$99,MATCH(A145,'Consistency Check'!$A$5:$A$99,0)),C145))</f>
        <v>Consumer loan</v>
      </c>
      <c r="E145" s="14" t="str">
        <f>IF(COUNTIF('Resolution Log'!$A$5:$A$24,A145)&gt;0,"Resolution Log (disagreement)",IF(COUNTIFS('Consistency Check'!$A$5:$A$99,A145,'Consistency Check'!$D$5:$D$99,"No")&gt;0,"Consistency Check (agreed label changed)",IF(COUNTIF('Consistency Check'!$A$5:$A$99,A145)&gt;0,"Consistency Check (agreed label confirmed)","Agreed label")))</f>
        <v>Consistency Check (agreed label confirmed)</v>
      </c>
      <c r="F145" s="14" t="str">
        <f t="shared" si="8"/>
        <v/>
      </c>
      <c r="G145" s="14" t="str">
        <f t="shared" si="9"/>
        <v/>
      </c>
    </row>
    <row r="146" spans="1:7" ht="15" customHeight="1" x14ac:dyDescent="0.25">
      <c r="A146" s="14">
        <v>8748</v>
      </c>
      <c r="B146" s="14" t="str">
        <f>INDEX('Labeler 1'!$C$2:$C$181,MATCH(A146,'Labeler 1'!$A$2:$A$181,0))</f>
        <v>Mortgage</v>
      </c>
      <c r="C146" s="14" t="str">
        <f>INDEX('Labeler 2'!$C$2:$C$181,MATCH(A146,'Labeler 2'!$A$2:$A$181,0))</f>
        <v>Mortgage</v>
      </c>
      <c r="D146" s="16" t="str">
        <f>IF(COUNTIF('Resolution Log'!$A$5:$A$24,A146)&gt;0,INDEX('Resolution Log'!$G$5:$G$24,MATCH(A146,'Resolution Log'!$A$5:$A$24,0)),IF(COUNTIFS('Consistency Check'!$A$5:$A$99,A146,'Consistency Check'!$D$5:$D$99,"No")&gt;0,INDEX('Consistency Check'!$E$5:$E$99,MATCH(A146,'Consistency Check'!$A$5:$A$99,0)),C146))</f>
        <v>Mortgage</v>
      </c>
      <c r="E146" s="14" t="str">
        <f>IF(COUNTIF('Resolution Log'!$A$5:$A$24,A146)&gt;0,"Resolution Log (disagreement)",IF(COUNTIFS('Consistency Check'!$A$5:$A$99,A146,'Consistency Check'!$D$5:$D$99,"No")&gt;0,"Consistency Check (agreed label changed)",IF(COUNTIF('Consistency Check'!$A$5:$A$99,A146)&gt;0,"Consistency Check (agreed label confirmed)","Agreed label")))</f>
        <v>Agreed label</v>
      </c>
      <c r="F146" s="14" t="str">
        <f t="shared" si="8"/>
        <v/>
      </c>
      <c r="G146" s="14" t="str">
        <f t="shared" si="9"/>
        <v/>
      </c>
    </row>
    <row r="147" spans="1:7" ht="15" customHeight="1" x14ac:dyDescent="0.25">
      <c r="A147" s="14">
        <v>8750</v>
      </c>
      <c r="B147" s="14" t="str">
        <f>INDEX('Labeler 1'!$C$2:$C$181,MATCH(A147,'Labeler 1'!$A$2:$A$181,0))</f>
        <v>Credit reporting</v>
      </c>
      <c r="C147" s="14" t="str">
        <f>INDEX('Labeler 2'!$C$2:$C$181,MATCH(A147,'Labeler 2'!$A$2:$A$181,0))</f>
        <v>Credit reporting</v>
      </c>
      <c r="D147" s="16" t="str">
        <f>IF(COUNTIF('Resolution Log'!$A$5:$A$24,A147)&gt;0,INDEX('Resolution Log'!$G$5:$G$24,MATCH(A147,'Resolution Log'!$A$5:$A$24,0)),IF(COUNTIFS('Consistency Check'!$A$5:$A$99,A147,'Consistency Check'!$D$5:$D$99,"No")&gt;0,INDEX('Consistency Check'!$E$5:$E$99,MATCH(A147,'Consistency Check'!$A$5:$A$99,0)),C147))</f>
        <v>Credit reporting</v>
      </c>
      <c r="E147" s="14" t="str">
        <f>IF(COUNTIF('Resolution Log'!$A$5:$A$24,A147)&gt;0,"Resolution Log (disagreement)",IF(COUNTIFS('Consistency Check'!$A$5:$A$99,A147,'Consistency Check'!$D$5:$D$99,"No")&gt;0,"Consistency Check (agreed label changed)",IF(COUNTIF('Consistency Check'!$A$5:$A$99,A147)&gt;0,"Consistency Check (agreed label confirmed)","Agreed label")))</f>
        <v>Agreed label</v>
      </c>
      <c r="F147" s="14" t="str">
        <f t="shared" si="8"/>
        <v/>
      </c>
      <c r="G147" s="14" t="str">
        <f t="shared" si="9"/>
        <v/>
      </c>
    </row>
    <row r="148" spans="1:7" ht="15" customHeight="1" x14ac:dyDescent="0.25">
      <c r="A148" s="14">
        <v>8752</v>
      </c>
      <c r="B148" s="14" t="str">
        <f>INDEX('Labeler 1'!$C$2:$C$181,MATCH(A148,'Labeler 1'!$A$2:$A$181,0))</f>
        <v>Consumer loan</v>
      </c>
      <c r="C148" s="14" t="str">
        <f>INDEX('Labeler 2'!$C$2:$C$181,MATCH(A148,'Labeler 2'!$A$2:$A$181,0))</f>
        <v>Consumer loan</v>
      </c>
      <c r="D148" s="16" t="str">
        <f>IF(COUNTIF('Resolution Log'!$A$5:$A$24,A148)&gt;0,INDEX('Resolution Log'!$G$5:$G$24,MATCH(A148,'Resolution Log'!$A$5:$A$24,0)),IF(COUNTIFS('Consistency Check'!$A$5:$A$99,A148,'Consistency Check'!$D$5:$D$99,"No")&gt;0,INDEX('Consistency Check'!$E$5:$E$99,MATCH(A148,'Consistency Check'!$A$5:$A$99,0)),C148))</f>
        <v>Consumer loan</v>
      </c>
      <c r="E148" s="14" t="str">
        <f>IF(COUNTIF('Resolution Log'!$A$5:$A$24,A148)&gt;0,"Resolution Log (disagreement)",IF(COUNTIFS('Consistency Check'!$A$5:$A$99,A148,'Consistency Check'!$D$5:$D$99,"No")&gt;0,"Consistency Check (agreed label changed)",IF(COUNTIF('Consistency Check'!$A$5:$A$99,A148)&gt;0,"Consistency Check (agreed label confirmed)","Agreed label")))</f>
        <v>Agreed label</v>
      </c>
      <c r="F148" s="14" t="str">
        <f t="shared" si="8"/>
        <v/>
      </c>
      <c r="G148" s="14" t="str">
        <f t="shared" si="9"/>
        <v/>
      </c>
    </row>
    <row r="149" spans="1:7" ht="15" customHeight="1" x14ac:dyDescent="0.25">
      <c r="A149" s="14">
        <v>8755</v>
      </c>
      <c r="B149" s="14" t="str">
        <f>INDEX('Labeler 1'!$C$2:$C$181,MATCH(A149,'Labeler 1'!$A$2:$A$181,0))</f>
        <v>Mortgage</v>
      </c>
      <c r="C149" s="14" t="str">
        <f>INDEX('Labeler 2'!$C$2:$C$181,MATCH(A149,'Labeler 2'!$A$2:$A$181,0))</f>
        <v>Mortgage</v>
      </c>
      <c r="D149" s="16" t="str">
        <f>IF(COUNTIF('Resolution Log'!$A$5:$A$24,A149)&gt;0,INDEX('Resolution Log'!$G$5:$G$24,MATCH(A149,'Resolution Log'!$A$5:$A$24,0)),IF(COUNTIFS('Consistency Check'!$A$5:$A$99,A149,'Consistency Check'!$D$5:$D$99,"No")&gt;0,INDEX('Consistency Check'!$E$5:$E$99,MATCH(A149,'Consistency Check'!$A$5:$A$99,0)),C149))</f>
        <v>Mortgage</v>
      </c>
      <c r="E149" s="14" t="str">
        <f>IF(COUNTIF('Resolution Log'!$A$5:$A$24,A149)&gt;0,"Resolution Log (disagreement)",IF(COUNTIFS('Consistency Check'!$A$5:$A$99,A149,'Consistency Check'!$D$5:$D$99,"No")&gt;0,"Consistency Check (agreed label changed)",IF(COUNTIF('Consistency Check'!$A$5:$A$99,A149)&gt;0,"Consistency Check (agreed label confirmed)","Agreed label")))</f>
        <v>Agreed label</v>
      </c>
      <c r="F149" s="14" t="str">
        <f t="shared" si="8"/>
        <v/>
      </c>
      <c r="G149" s="14" t="str">
        <f t="shared" si="9"/>
        <v/>
      </c>
    </row>
    <row r="150" spans="1:7" ht="15" customHeight="1" x14ac:dyDescent="0.25">
      <c r="A150" s="14">
        <v>8771</v>
      </c>
      <c r="B150" s="14" t="str">
        <f>INDEX('Labeler 1'!$C$2:$C$181,MATCH(A150,'Labeler 1'!$A$2:$A$181,0))</f>
        <v>Money transfer or service</v>
      </c>
      <c r="C150" s="14" t="str">
        <f>INDEX('Labeler 2'!$C$2:$C$181,MATCH(A150,'Labeler 2'!$A$2:$A$181,0))</f>
        <v>Money transfer or service</v>
      </c>
      <c r="D150" s="16" t="str">
        <f>IF(COUNTIF('Resolution Log'!$A$5:$A$24,A150)&gt;0,INDEX('Resolution Log'!$G$5:$G$24,MATCH(A150,'Resolution Log'!$A$5:$A$24,0)),IF(COUNTIFS('Consistency Check'!$A$5:$A$99,A150,'Consistency Check'!$D$5:$D$99,"No")&gt;0,INDEX('Consistency Check'!$E$5:$E$99,MATCH(A150,'Consistency Check'!$A$5:$A$99,0)),C150))</f>
        <v>Money transfer or service</v>
      </c>
      <c r="E150" s="14" t="str">
        <f>IF(COUNTIF('Resolution Log'!$A$5:$A$24,A150)&gt;0,"Resolution Log (disagreement)",IF(COUNTIFS('Consistency Check'!$A$5:$A$99,A150,'Consistency Check'!$D$5:$D$99,"No")&gt;0,"Consistency Check (agreed label changed)",IF(COUNTIF('Consistency Check'!$A$5:$A$99,A150)&gt;0,"Consistency Check (agreed label confirmed)","Agreed label")))</f>
        <v>Consistency Check (agreed label confirmed)</v>
      </c>
      <c r="F150" s="14" t="str">
        <f t="shared" si="8"/>
        <v/>
      </c>
      <c r="G150" s="14" t="str">
        <f t="shared" si="9"/>
        <v/>
      </c>
    </row>
    <row r="151" spans="1:7" ht="15" customHeight="1" x14ac:dyDescent="0.25">
      <c r="A151" s="14">
        <v>8773</v>
      </c>
      <c r="B151" s="14" t="str">
        <f>INDEX('Labeler 1'!$C$2:$C$181,MATCH(A151,'Labeler 1'!$A$2:$A$181,0))</f>
        <v>Credit reporting</v>
      </c>
      <c r="C151" s="14" t="str">
        <f>INDEX('Labeler 2'!$C$2:$C$181,MATCH(A151,'Labeler 2'!$A$2:$A$181,0))</f>
        <v>Credit reporting</v>
      </c>
      <c r="D151" s="16" t="str">
        <f>IF(COUNTIF('Resolution Log'!$A$5:$A$24,A151)&gt;0,INDEX('Resolution Log'!$G$5:$G$24,MATCH(A151,'Resolution Log'!$A$5:$A$24,0)),IF(COUNTIFS('Consistency Check'!$A$5:$A$99,A151,'Consistency Check'!$D$5:$D$99,"No")&gt;0,INDEX('Consistency Check'!$E$5:$E$99,MATCH(A151,'Consistency Check'!$A$5:$A$99,0)),C151))</f>
        <v>Credit reporting</v>
      </c>
      <c r="E151" s="14" t="str">
        <f>IF(COUNTIF('Resolution Log'!$A$5:$A$24,A151)&gt;0,"Resolution Log (disagreement)",IF(COUNTIFS('Consistency Check'!$A$5:$A$99,A151,'Consistency Check'!$D$5:$D$99,"No")&gt;0,"Consistency Check (agreed label changed)",IF(COUNTIF('Consistency Check'!$A$5:$A$99,A151)&gt;0,"Consistency Check (agreed label confirmed)","Agreed label")))</f>
        <v>Agreed label</v>
      </c>
      <c r="F151" s="14" t="str">
        <f t="shared" si="8"/>
        <v/>
      </c>
      <c r="G151" s="14" t="str">
        <f t="shared" si="9"/>
        <v/>
      </c>
    </row>
    <row r="152" spans="1:7" ht="15" customHeight="1" x14ac:dyDescent="0.25">
      <c r="A152" s="14">
        <v>8774</v>
      </c>
      <c r="B152" s="14" t="str">
        <f>INDEX('Labeler 1'!$C$2:$C$181,MATCH(A152,'Labeler 1'!$A$2:$A$181,0))</f>
        <v>Mortgage</v>
      </c>
      <c r="C152" s="14" t="str">
        <f>INDEX('Labeler 2'!$C$2:$C$181,MATCH(A152,'Labeler 2'!$A$2:$A$181,0))</f>
        <v>Mortgage</v>
      </c>
      <c r="D152" s="16" t="str">
        <f>IF(COUNTIF('Resolution Log'!$A$5:$A$24,A152)&gt;0,INDEX('Resolution Log'!$G$5:$G$24,MATCH(A152,'Resolution Log'!$A$5:$A$24,0)),IF(COUNTIFS('Consistency Check'!$A$5:$A$99,A152,'Consistency Check'!$D$5:$D$99,"No")&gt;0,INDEX('Consistency Check'!$E$5:$E$99,MATCH(A152,'Consistency Check'!$A$5:$A$99,0)),C152))</f>
        <v>Mortgage</v>
      </c>
      <c r="E152" s="14" t="str">
        <f>IF(COUNTIF('Resolution Log'!$A$5:$A$24,A152)&gt;0,"Resolution Log (disagreement)",IF(COUNTIFS('Consistency Check'!$A$5:$A$99,A152,'Consistency Check'!$D$5:$D$99,"No")&gt;0,"Consistency Check (agreed label changed)",IF(COUNTIF('Consistency Check'!$A$5:$A$99,A152)&gt;0,"Consistency Check (agreed label confirmed)","Agreed label")))</f>
        <v>Agreed label</v>
      </c>
      <c r="F152" s="14" t="str">
        <f t="shared" si="8"/>
        <v/>
      </c>
      <c r="G152" s="14" t="str">
        <f t="shared" si="9"/>
        <v/>
      </c>
    </row>
    <row r="153" spans="1:7" ht="15" customHeight="1" x14ac:dyDescent="0.25">
      <c r="A153" s="14">
        <v>8776</v>
      </c>
      <c r="B153" s="14" t="str">
        <f>INDEX('Labeler 1'!$C$2:$C$181,MATCH(A153,'Labeler 1'!$A$2:$A$181,0))</f>
        <v>Money transfer or service</v>
      </c>
      <c r="C153" s="14" t="str">
        <f>INDEX('Labeler 2'!$C$2:$C$181,MATCH(A153,'Labeler 2'!$A$2:$A$181,0))</f>
        <v>Money transfer or service</v>
      </c>
      <c r="D153" s="16" t="str">
        <f>IF(COUNTIF('Resolution Log'!$A$5:$A$24,A153)&gt;0,INDEX('Resolution Log'!$G$5:$G$24,MATCH(A153,'Resolution Log'!$A$5:$A$24,0)),IF(COUNTIFS('Consistency Check'!$A$5:$A$99,A153,'Consistency Check'!$D$5:$D$99,"No")&gt;0,INDEX('Consistency Check'!$E$5:$E$99,MATCH(A153,'Consistency Check'!$A$5:$A$99,0)),C153))</f>
        <v>Money transfer or service</v>
      </c>
      <c r="E153" s="14" t="str">
        <f>IF(COUNTIF('Resolution Log'!$A$5:$A$24,A153)&gt;0,"Resolution Log (disagreement)",IF(COUNTIFS('Consistency Check'!$A$5:$A$99,A153,'Consistency Check'!$D$5:$D$99,"No")&gt;0,"Consistency Check (agreed label changed)",IF(COUNTIF('Consistency Check'!$A$5:$A$99,A153)&gt;0,"Consistency Check (agreed label confirmed)","Agreed label")))</f>
        <v>Agreed label</v>
      </c>
      <c r="F153" s="14" t="str">
        <f t="shared" si="8"/>
        <v/>
      </c>
      <c r="G153" s="14" t="str">
        <f t="shared" si="9"/>
        <v/>
      </c>
    </row>
    <row r="154" spans="1:7" ht="15" customHeight="1" x14ac:dyDescent="0.25">
      <c r="A154" s="14">
        <v>8789</v>
      </c>
      <c r="B154" s="14" t="str">
        <f>INDEX('Labeler 1'!$C$2:$C$181,MATCH(A154,'Labeler 1'!$A$2:$A$181,0))</f>
        <v>Credit reporting</v>
      </c>
      <c r="C154" s="14" t="str">
        <f>INDEX('Labeler 2'!$C$2:$C$181,MATCH(A154,'Labeler 2'!$A$2:$A$181,0))</f>
        <v>Credit reporting</v>
      </c>
      <c r="D154" s="16" t="str">
        <f>IF(COUNTIF('Resolution Log'!$A$5:$A$24,A154)&gt;0,INDEX('Resolution Log'!$G$5:$G$24,MATCH(A154,'Resolution Log'!$A$5:$A$24,0)),IF(COUNTIFS('Consistency Check'!$A$5:$A$99,A154,'Consistency Check'!$D$5:$D$99,"No")&gt;0,INDEX('Consistency Check'!$E$5:$E$99,MATCH(A154,'Consistency Check'!$A$5:$A$99,0)),C154))</f>
        <v>Credit reporting</v>
      </c>
      <c r="E154" s="14" t="str">
        <f>IF(COUNTIF('Resolution Log'!$A$5:$A$24,A154)&gt;0,"Resolution Log (disagreement)",IF(COUNTIFS('Consistency Check'!$A$5:$A$99,A154,'Consistency Check'!$D$5:$D$99,"No")&gt;0,"Consistency Check (agreed label changed)",IF(COUNTIF('Consistency Check'!$A$5:$A$99,A154)&gt;0,"Consistency Check (agreed label confirmed)","Agreed label")))</f>
        <v>Agreed label</v>
      </c>
      <c r="F154" s="14" t="str">
        <f t="shared" si="8"/>
        <v/>
      </c>
      <c r="G154" s="14" t="str">
        <f t="shared" si="9"/>
        <v/>
      </c>
    </row>
    <row r="155" spans="1:7" ht="15" customHeight="1" x14ac:dyDescent="0.25">
      <c r="A155" s="14">
        <v>8801</v>
      </c>
      <c r="B155" s="14" t="str">
        <f>INDEX('Labeler 1'!$C$2:$C$181,MATCH(A155,'Labeler 1'!$A$2:$A$181,0))</f>
        <v>Bank account or service</v>
      </c>
      <c r="C155" s="14" t="str">
        <f>INDEX('Labeler 2'!$C$2:$C$181,MATCH(A155,'Labeler 2'!$A$2:$A$181,0))</f>
        <v>Bank account or service</v>
      </c>
      <c r="D155" s="16" t="str">
        <f>IF(COUNTIF('Resolution Log'!$A$5:$A$24,A155)&gt;0,INDEX('Resolution Log'!$G$5:$G$24,MATCH(A155,'Resolution Log'!$A$5:$A$24,0)),IF(COUNTIFS('Consistency Check'!$A$5:$A$99,A155,'Consistency Check'!$D$5:$D$99,"No")&gt;0,INDEX('Consistency Check'!$E$5:$E$99,MATCH(A155,'Consistency Check'!$A$5:$A$99,0)),C155))</f>
        <v>Bank account or service</v>
      </c>
      <c r="E155" s="14" t="str">
        <f>IF(COUNTIF('Resolution Log'!$A$5:$A$24,A155)&gt;0,"Resolution Log (disagreement)",IF(COUNTIFS('Consistency Check'!$A$5:$A$99,A155,'Consistency Check'!$D$5:$D$99,"No")&gt;0,"Consistency Check (agreed label changed)",IF(COUNTIF('Consistency Check'!$A$5:$A$99,A155)&gt;0,"Consistency Check (agreed label confirmed)","Agreed label")))</f>
        <v>Consistency Check (agreed label confirmed)</v>
      </c>
      <c r="F155" s="14" t="str">
        <f t="shared" si="8"/>
        <v/>
      </c>
      <c r="G155" s="14" t="str">
        <f t="shared" si="9"/>
        <v/>
      </c>
    </row>
    <row r="156" spans="1:7" ht="15" customHeight="1" x14ac:dyDescent="0.25">
      <c r="A156" s="14">
        <v>8815</v>
      </c>
      <c r="B156" s="14" t="str">
        <f>INDEX('Labeler 1'!$C$2:$C$181,MATCH(A156,'Labeler 1'!$A$2:$A$181,0))</f>
        <v>Credit reporting</v>
      </c>
      <c r="C156" s="14" t="str">
        <f>INDEX('Labeler 2'!$C$2:$C$181,MATCH(A156,'Labeler 2'!$A$2:$A$181,0))</f>
        <v>Credit reporting</v>
      </c>
      <c r="D156" s="16" t="str">
        <f>IF(COUNTIF('Resolution Log'!$A$5:$A$24,A156)&gt;0,INDEX('Resolution Log'!$G$5:$G$24,MATCH(A156,'Resolution Log'!$A$5:$A$24,0)),IF(COUNTIFS('Consistency Check'!$A$5:$A$99,A156,'Consistency Check'!$D$5:$D$99,"No")&gt;0,INDEX('Consistency Check'!$E$5:$E$99,MATCH(A156,'Consistency Check'!$A$5:$A$99,0)),C156))</f>
        <v>Credit reporting</v>
      </c>
      <c r="E156" s="14" t="str">
        <f>IF(COUNTIF('Resolution Log'!$A$5:$A$24,A156)&gt;0,"Resolution Log (disagreement)",IF(COUNTIFS('Consistency Check'!$A$5:$A$99,A156,'Consistency Check'!$D$5:$D$99,"No")&gt;0,"Consistency Check (agreed label changed)",IF(COUNTIF('Consistency Check'!$A$5:$A$99,A156)&gt;0,"Consistency Check (agreed label confirmed)","Agreed label")))</f>
        <v>Agreed label</v>
      </c>
      <c r="F156" s="14" t="str">
        <f t="shared" si="8"/>
        <v/>
      </c>
      <c r="G156" s="14" t="str">
        <f t="shared" si="9"/>
        <v/>
      </c>
    </row>
    <row r="157" spans="1:7" ht="15" customHeight="1" x14ac:dyDescent="0.25">
      <c r="A157" s="14">
        <v>8821</v>
      </c>
      <c r="B157" s="14" t="str">
        <f>INDEX('Labeler 1'!$C$2:$C$181,MATCH(A157,'Labeler 1'!$A$2:$A$181,0))</f>
        <v>Money transfer or service</v>
      </c>
      <c r="C157" s="14" t="str">
        <f>INDEX('Labeler 2'!$C$2:$C$181,MATCH(A157,'Labeler 2'!$A$2:$A$181,0))</f>
        <v>Money transfer or service</v>
      </c>
      <c r="D157" s="16" t="str">
        <f>IF(COUNTIF('Resolution Log'!$A$5:$A$24,A157)&gt;0,INDEX('Resolution Log'!$G$5:$G$24,MATCH(A157,'Resolution Log'!$A$5:$A$24,0)),IF(COUNTIFS('Consistency Check'!$A$5:$A$99,A157,'Consistency Check'!$D$5:$D$99,"No")&gt;0,INDEX('Consistency Check'!$E$5:$E$99,MATCH(A157,'Consistency Check'!$A$5:$A$99,0)),C157))</f>
        <v>Money transfer or service</v>
      </c>
      <c r="E157" s="14" t="str">
        <f>IF(COUNTIF('Resolution Log'!$A$5:$A$24,A157)&gt;0,"Resolution Log (disagreement)",IF(COUNTIFS('Consistency Check'!$A$5:$A$99,A157,'Consistency Check'!$D$5:$D$99,"No")&gt;0,"Consistency Check (agreed label changed)",IF(COUNTIF('Consistency Check'!$A$5:$A$99,A157)&gt;0,"Consistency Check (agreed label confirmed)","Agreed label")))</f>
        <v>Agreed label</v>
      </c>
      <c r="F157" s="14" t="str">
        <f t="shared" si="8"/>
        <v/>
      </c>
      <c r="G157" s="14" t="str">
        <f t="shared" si="9"/>
        <v/>
      </c>
    </row>
    <row r="158" spans="1:7" ht="15" customHeight="1" x14ac:dyDescent="0.25">
      <c r="A158" s="14">
        <v>8827</v>
      </c>
      <c r="B158" s="14" t="str">
        <f>INDEX('Labeler 1'!$C$2:$C$181,MATCH(A158,'Labeler 1'!$A$2:$A$181,0))</f>
        <v>Bank account or service</v>
      </c>
      <c r="C158" s="14" t="str">
        <f>INDEX('Labeler 2'!$C$2:$C$181,MATCH(A158,'Labeler 2'!$A$2:$A$181,0))</f>
        <v>Bank account or service</v>
      </c>
      <c r="D158" s="16" t="str">
        <f>IF(COUNTIF('Resolution Log'!$A$5:$A$24,A158)&gt;0,INDEX('Resolution Log'!$G$5:$G$24,MATCH(A158,'Resolution Log'!$A$5:$A$24,0)),IF(COUNTIFS('Consistency Check'!$A$5:$A$99,A158,'Consistency Check'!$D$5:$D$99,"No")&gt;0,INDEX('Consistency Check'!$E$5:$E$99,MATCH(A158,'Consistency Check'!$A$5:$A$99,0)),C158))</f>
        <v>Bank account or service</v>
      </c>
      <c r="E158" s="14" t="str">
        <f>IF(COUNTIF('Resolution Log'!$A$5:$A$24,A158)&gt;0,"Resolution Log (disagreement)",IF(COUNTIFS('Consistency Check'!$A$5:$A$99,A158,'Consistency Check'!$D$5:$D$99,"No")&gt;0,"Consistency Check (agreed label changed)",IF(COUNTIF('Consistency Check'!$A$5:$A$99,A158)&gt;0,"Consistency Check (agreed label confirmed)","Agreed label")))</f>
        <v>Consistency Check (agreed label confirmed)</v>
      </c>
      <c r="F158" s="14" t="str">
        <f t="shared" si="8"/>
        <v/>
      </c>
      <c r="G158" s="14" t="str">
        <f t="shared" si="9"/>
        <v/>
      </c>
    </row>
    <row r="159" spans="1:7" ht="15" customHeight="1" x14ac:dyDescent="0.25">
      <c r="A159" s="14">
        <v>8831</v>
      </c>
      <c r="B159" s="14" t="str">
        <f>INDEX('Labeler 1'!$C$2:$C$181,MATCH(A159,'Labeler 1'!$A$2:$A$181,0))</f>
        <v>Mortgage</v>
      </c>
      <c r="C159" s="14" t="str">
        <f>INDEX('Labeler 2'!$C$2:$C$181,MATCH(A159,'Labeler 2'!$A$2:$A$181,0))</f>
        <v>Mortgage</v>
      </c>
      <c r="D159" s="16" t="str">
        <f>IF(COUNTIF('Resolution Log'!$A$5:$A$24,A159)&gt;0,INDEX('Resolution Log'!$G$5:$G$24,MATCH(A159,'Resolution Log'!$A$5:$A$24,0)),IF(COUNTIFS('Consistency Check'!$A$5:$A$99,A159,'Consistency Check'!$D$5:$D$99,"No")&gt;0,INDEX('Consistency Check'!$E$5:$E$99,MATCH(A159,'Consistency Check'!$A$5:$A$99,0)),C159))</f>
        <v>Mortgage</v>
      </c>
      <c r="E159" s="14" t="str">
        <f>IF(COUNTIF('Resolution Log'!$A$5:$A$24,A159)&gt;0,"Resolution Log (disagreement)",IF(COUNTIFS('Consistency Check'!$A$5:$A$99,A159,'Consistency Check'!$D$5:$D$99,"No")&gt;0,"Consistency Check (agreed label changed)",IF(COUNTIF('Consistency Check'!$A$5:$A$99,A159)&gt;0,"Consistency Check (agreed label confirmed)","Agreed label")))</f>
        <v>Agreed label</v>
      </c>
      <c r="F159" s="14" t="str">
        <f t="shared" si="8"/>
        <v/>
      </c>
      <c r="G159" s="14" t="str">
        <f t="shared" si="9"/>
        <v/>
      </c>
    </row>
    <row r="160" spans="1:7" ht="15" customHeight="1" x14ac:dyDescent="0.25">
      <c r="A160" s="14">
        <v>8850</v>
      </c>
      <c r="B160" s="14" t="str">
        <f>INDEX('Labeler 1'!$C$2:$C$181,MATCH(A160,'Labeler 1'!$A$2:$A$181,0))</f>
        <v>Credit reporting</v>
      </c>
      <c r="C160" s="14" t="str">
        <f>INDEX('Labeler 2'!$C$2:$C$181,MATCH(A160,'Labeler 2'!$A$2:$A$181,0))</f>
        <v>Debt collection</v>
      </c>
      <c r="D160" s="16" t="str">
        <f>IF(COUNTIF('Resolution Log'!$A$5:$A$24,A160)&gt;0,INDEX('Resolution Log'!$G$5:$G$24,MATCH(A160,'Resolution Log'!$A$5:$A$24,0)),IF(COUNTIFS('Consistency Check'!$A$5:$A$99,A160,'Consistency Check'!$D$5:$D$99,"No")&gt;0,INDEX('Consistency Check'!$E$5:$E$99,MATCH(A160,'Consistency Check'!$A$5:$A$99,0)),C160))</f>
        <v>Debt collection</v>
      </c>
      <c r="E160" s="14" t="str">
        <f>IF(COUNTIF('Resolution Log'!$A$5:$A$24,A160)&gt;0,"Resolution Log (disagreement)",IF(COUNTIFS('Consistency Check'!$A$5:$A$99,A160,'Consistency Check'!$D$5:$D$99,"No")&gt;0,"Consistency Check (agreed label changed)",IF(COUNTIF('Consistency Check'!$A$5:$A$99,A160)&gt;0,"Consistency Check (agreed label confirmed)","Agreed label")))</f>
        <v>Resolution Log (disagreement)</v>
      </c>
      <c r="F160" s="14" t="str">
        <f t="shared" si="8"/>
        <v>Yes</v>
      </c>
      <c r="G160" s="14" t="str">
        <f t="shared" si="9"/>
        <v/>
      </c>
    </row>
    <row r="161" spans="1:7" ht="15" customHeight="1" x14ac:dyDescent="0.25">
      <c r="A161" s="14">
        <v>8856</v>
      </c>
      <c r="B161" s="14" t="str">
        <f>INDEX('Labeler 1'!$C$2:$C$181,MATCH(A161,'Labeler 1'!$A$2:$A$181,0))</f>
        <v>Money transfer or service</v>
      </c>
      <c r="C161" s="14" t="str">
        <f>INDEX('Labeler 2'!$C$2:$C$181,MATCH(A161,'Labeler 2'!$A$2:$A$181,0))</f>
        <v>Money transfer or service</v>
      </c>
      <c r="D161" s="16" t="str">
        <f>IF(COUNTIF('Resolution Log'!$A$5:$A$24,A161)&gt;0,INDEX('Resolution Log'!$G$5:$G$24,MATCH(A161,'Resolution Log'!$A$5:$A$24,0)),IF(COUNTIFS('Consistency Check'!$A$5:$A$99,A161,'Consistency Check'!$D$5:$D$99,"No")&gt;0,INDEX('Consistency Check'!$E$5:$E$99,MATCH(A161,'Consistency Check'!$A$5:$A$99,0)),C161))</f>
        <v>Money transfer or service</v>
      </c>
      <c r="E161" s="14" t="str">
        <f>IF(COUNTIF('Resolution Log'!$A$5:$A$24,A161)&gt;0,"Resolution Log (disagreement)",IF(COUNTIFS('Consistency Check'!$A$5:$A$99,A161,'Consistency Check'!$D$5:$D$99,"No")&gt;0,"Consistency Check (agreed label changed)",IF(COUNTIF('Consistency Check'!$A$5:$A$99,A161)&gt;0,"Consistency Check (agreed label confirmed)","Agreed label")))</f>
        <v>Consistency Check (agreed label confirmed)</v>
      </c>
      <c r="F161" s="14" t="str">
        <f t="shared" si="8"/>
        <v/>
      </c>
      <c r="G161" s="14" t="str">
        <f t="shared" si="9"/>
        <v/>
      </c>
    </row>
    <row r="162" spans="1:7" ht="15" customHeight="1" x14ac:dyDescent="0.25">
      <c r="A162" s="14">
        <v>8872</v>
      </c>
      <c r="B162" s="14" t="str">
        <f>INDEX('Labeler 1'!$C$2:$C$181,MATCH(A162,'Labeler 1'!$A$2:$A$181,0))</f>
        <v>Mortgage</v>
      </c>
      <c r="C162" s="14" t="str">
        <f>INDEX('Labeler 2'!$C$2:$C$181,MATCH(A162,'Labeler 2'!$A$2:$A$181,0))</f>
        <v>Mortgage</v>
      </c>
      <c r="D162" s="16" t="str">
        <f>IF(COUNTIF('Resolution Log'!$A$5:$A$24,A162)&gt;0,INDEX('Resolution Log'!$G$5:$G$24,MATCH(A162,'Resolution Log'!$A$5:$A$24,0)),IF(COUNTIFS('Consistency Check'!$A$5:$A$99,A162,'Consistency Check'!$D$5:$D$99,"No")&gt;0,INDEX('Consistency Check'!$E$5:$E$99,MATCH(A162,'Consistency Check'!$A$5:$A$99,0)),C162))</f>
        <v>Mortgage</v>
      </c>
      <c r="E162" s="14" t="str">
        <f>IF(COUNTIF('Resolution Log'!$A$5:$A$24,A162)&gt;0,"Resolution Log (disagreement)",IF(COUNTIFS('Consistency Check'!$A$5:$A$99,A162,'Consistency Check'!$D$5:$D$99,"No")&gt;0,"Consistency Check (agreed label changed)",IF(COUNTIF('Consistency Check'!$A$5:$A$99,A162)&gt;0,"Consistency Check (agreed label confirmed)","Agreed label")))</f>
        <v>Agreed label</v>
      </c>
      <c r="F162" s="14" t="str">
        <f t="shared" si="8"/>
        <v/>
      </c>
      <c r="G162" s="14" t="str">
        <f t="shared" si="9"/>
        <v/>
      </c>
    </row>
    <row r="163" spans="1:7" ht="15" customHeight="1" x14ac:dyDescent="0.25">
      <c r="A163" s="14">
        <v>8877</v>
      </c>
      <c r="B163" s="14" t="str">
        <f>INDEX('Labeler 1'!$C$2:$C$181,MATCH(A163,'Labeler 1'!$A$2:$A$181,0))</f>
        <v>Credit reporting</v>
      </c>
      <c r="C163" s="14" t="str">
        <f>INDEX('Labeler 2'!$C$2:$C$181,MATCH(A163,'Labeler 2'!$A$2:$A$181,0))</f>
        <v>Credit reporting</v>
      </c>
      <c r="D163" s="16" t="str">
        <f>IF(COUNTIF('Resolution Log'!$A$5:$A$24,A163)&gt;0,INDEX('Resolution Log'!$G$5:$G$24,MATCH(A163,'Resolution Log'!$A$5:$A$24,0)),IF(COUNTIFS('Consistency Check'!$A$5:$A$99,A163,'Consistency Check'!$D$5:$D$99,"No")&gt;0,INDEX('Consistency Check'!$E$5:$E$99,MATCH(A163,'Consistency Check'!$A$5:$A$99,0)),C163))</f>
        <v>Credit reporting</v>
      </c>
      <c r="E163" s="14" t="str">
        <f>IF(COUNTIF('Resolution Log'!$A$5:$A$24,A163)&gt;0,"Resolution Log (disagreement)",IF(COUNTIFS('Consistency Check'!$A$5:$A$99,A163,'Consistency Check'!$D$5:$D$99,"No")&gt;0,"Consistency Check (agreed label changed)",IF(COUNTIF('Consistency Check'!$A$5:$A$99,A163)&gt;0,"Consistency Check (agreed label confirmed)","Agreed label")))</f>
        <v>Agreed label</v>
      </c>
      <c r="F163" s="14" t="str">
        <f t="shared" si="8"/>
        <v/>
      </c>
      <c r="G163" s="14" t="str">
        <f t="shared" si="9"/>
        <v/>
      </c>
    </row>
    <row r="164" spans="1:7" ht="15" customHeight="1" x14ac:dyDescent="0.25">
      <c r="A164" s="14">
        <v>8878</v>
      </c>
      <c r="B164" s="14" t="str">
        <f>INDEX('Labeler 1'!$C$2:$C$181,MATCH(A164,'Labeler 1'!$A$2:$A$181,0))</f>
        <v>Money transfer or service</v>
      </c>
      <c r="C164" s="14" t="str">
        <f>INDEX('Labeler 2'!$C$2:$C$181,MATCH(A164,'Labeler 2'!$A$2:$A$181,0))</f>
        <v>Money transfer or service</v>
      </c>
      <c r="D164" s="16" t="str">
        <f>IF(COUNTIF('Resolution Log'!$A$5:$A$24,A164)&gt;0,INDEX('Resolution Log'!$G$5:$G$24,MATCH(A164,'Resolution Log'!$A$5:$A$24,0)),IF(COUNTIFS('Consistency Check'!$A$5:$A$99,A164,'Consistency Check'!$D$5:$D$99,"No")&gt;0,INDEX('Consistency Check'!$E$5:$E$99,MATCH(A164,'Consistency Check'!$A$5:$A$99,0)),C164))</f>
        <v>Money transfer or service</v>
      </c>
      <c r="E164" s="14" t="str">
        <f>IF(COUNTIF('Resolution Log'!$A$5:$A$24,A164)&gt;0,"Resolution Log (disagreement)",IF(COUNTIFS('Consistency Check'!$A$5:$A$99,A164,'Consistency Check'!$D$5:$D$99,"No")&gt;0,"Consistency Check (agreed label changed)",IF(COUNTIF('Consistency Check'!$A$5:$A$99,A164)&gt;0,"Consistency Check (agreed label confirmed)","Agreed label")))</f>
        <v>Consistency Check (agreed label confirmed)</v>
      </c>
      <c r="F164" s="14" t="str">
        <f t="shared" si="8"/>
        <v/>
      </c>
      <c r="G164" s="14" t="str">
        <f t="shared" si="9"/>
        <v/>
      </c>
    </row>
    <row r="165" spans="1:7" ht="15" customHeight="1" x14ac:dyDescent="0.25">
      <c r="A165" s="14">
        <v>8905</v>
      </c>
      <c r="B165" s="14" t="str">
        <f>INDEX('Labeler 1'!$C$2:$C$181,MATCH(A165,'Labeler 1'!$A$2:$A$181,0))</f>
        <v>Credit reporting</v>
      </c>
      <c r="C165" s="14" t="str">
        <f>INDEX('Labeler 2'!$C$2:$C$181,MATCH(A165,'Labeler 2'!$A$2:$A$181,0))</f>
        <v>Credit reporting</v>
      </c>
      <c r="D165" s="16" t="str">
        <f>IF(COUNTIF('Resolution Log'!$A$5:$A$24,A165)&gt;0,INDEX('Resolution Log'!$G$5:$G$24,MATCH(A165,'Resolution Log'!$A$5:$A$24,0)),IF(COUNTIFS('Consistency Check'!$A$5:$A$99,A165,'Consistency Check'!$D$5:$D$99,"No")&gt;0,INDEX('Consistency Check'!$E$5:$E$99,MATCH(A165,'Consistency Check'!$A$5:$A$99,0)),C165))</f>
        <v>Credit reporting</v>
      </c>
      <c r="E165" s="14" t="str">
        <f>IF(COUNTIF('Resolution Log'!$A$5:$A$24,A165)&gt;0,"Resolution Log (disagreement)",IF(COUNTIFS('Consistency Check'!$A$5:$A$99,A165,'Consistency Check'!$D$5:$D$99,"No")&gt;0,"Consistency Check (agreed label changed)",IF(COUNTIF('Consistency Check'!$A$5:$A$99,A165)&gt;0,"Consistency Check (agreed label confirmed)","Agreed label")))</f>
        <v>Agreed label</v>
      </c>
      <c r="F165" s="14" t="str">
        <f t="shared" ref="F165:F184" si="10">IF(D165&lt;&gt;B165,"Yes","")</f>
        <v/>
      </c>
      <c r="G165" s="14" t="str">
        <f t="shared" ref="G165:G184" si="11">IF(D165&lt;&gt;C165,"Yes","")</f>
        <v/>
      </c>
    </row>
    <row r="166" spans="1:7" ht="15" customHeight="1" x14ac:dyDescent="0.25">
      <c r="A166" s="14">
        <v>8908</v>
      </c>
      <c r="B166" s="14" t="str">
        <f>INDEX('Labeler 1'!$C$2:$C$181,MATCH(A166,'Labeler 1'!$A$2:$A$181,0))</f>
        <v>Mortgage</v>
      </c>
      <c r="C166" s="14" t="str">
        <f>INDEX('Labeler 2'!$C$2:$C$181,MATCH(A166,'Labeler 2'!$A$2:$A$181,0))</f>
        <v>Mortgage</v>
      </c>
      <c r="D166" s="16" t="str">
        <f>IF(COUNTIF('Resolution Log'!$A$5:$A$24,A166)&gt;0,INDEX('Resolution Log'!$G$5:$G$24,MATCH(A166,'Resolution Log'!$A$5:$A$24,0)),IF(COUNTIFS('Consistency Check'!$A$5:$A$99,A166,'Consistency Check'!$D$5:$D$99,"No")&gt;0,INDEX('Consistency Check'!$E$5:$E$99,MATCH(A166,'Consistency Check'!$A$5:$A$99,0)),C166))</f>
        <v>Mortgage</v>
      </c>
      <c r="E166" s="14" t="str">
        <f>IF(COUNTIF('Resolution Log'!$A$5:$A$24,A166)&gt;0,"Resolution Log (disagreement)",IF(COUNTIFS('Consistency Check'!$A$5:$A$99,A166,'Consistency Check'!$D$5:$D$99,"No")&gt;0,"Consistency Check (agreed label changed)",IF(COUNTIF('Consistency Check'!$A$5:$A$99,A166)&gt;0,"Consistency Check (agreed label confirmed)","Agreed label")))</f>
        <v>Agreed label</v>
      </c>
      <c r="F166" s="14" t="str">
        <f t="shared" si="10"/>
        <v/>
      </c>
      <c r="G166" s="14" t="str">
        <f t="shared" si="11"/>
        <v/>
      </c>
    </row>
    <row r="167" spans="1:7" ht="15" customHeight="1" x14ac:dyDescent="0.25">
      <c r="A167" s="14">
        <v>8910</v>
      </c>
      <c r="B167" s="14" t="str">
        <f>INDEX('Labeler 1'!$C$2:$C$181,MATCH(A167,'Labeler 1'!$A$2:$A$181,0))</f>
        <v>Consumer loan</v>
      </c>
      <c r="C167" s="14" t="str">
        <f>INDEX('Labeler 2'!$C$2:$C$181,MATCH(A167,'Labeler 2'!$A$2:$A$181,0))</f>
        <v>Consumer loan</v>
      </c>
      <c r="D167" s="16" t="str">
        <f>IF(COUNTIF('Resolution Log'!$A$5:$A$24,A167)&gt;0,INDEX('Resolution Log'!$G$5:$G$24,MATCH(A167,'Resolution Log'!$A$5:$A$24,0)),IF(COUNTIFS('Consistency Check'!$A$5:$A$99,A167,'Consistency Check'!$D$5:$D$99,"No")&gt;0,INDEX('Consistency Check'!$E$5:$E$99,MATCH(A167,'Consistency Check'!$A$5:$A$99,0)),C167))</f>
        <v>Consumer loan</v>
      </c>
      <c r="E167" s="14" t="str">
        <f>IF(COUNTIF('Resolution Log'!$A$5:$A$24,A167)&gt;0,"Resolution Log (disagreement)",IF(COUNTIFS('Consistency Check'!$A$5:$A$99,A167,'Consistency Check'!$D$5:$D$99,"No")&gt;0,"Consistency Check (agreed label changed)",IF(COUNTIF('Consistency Check'!$A$5:$A$99,A167)&gt;0,"Consistency Check (agreed label confirmed)","Agreed label")))</f>
        <v>Consistency Check (agreed label confirmed)</v>
      </c>
      <c r="F167" s="14" t="str">
        <f t="shared" si="10"/>
        <v/>
      </c>
      <c r="G167" s="14" t="str">
        <f t="shared" si="11"/>
        <v/>
      </c>
    </row>
    <row r="168" spans="1:7" ht="15" customHeight="1" x14ac:dyDescent="0.25">
      <c r="A168" s="14">
        <v>8913</v>
      </c>
      <c r="B168" s="14" t="str">
        <f>INDEX('Labeler 1'!$C$2:$C$181,MATCH(A168,'Labeler 1'!$A$2:$A$181,0))</f>
        <v>Credit reporting</v>
      </c>
      <c r="C168" s="14" t="str">
        <f>INDEX('Labeler 2'!$C$2:$C$181,MATCH(A168,'Labeler 2'!$A$2:$A$181,0))</f>
        <v>Credit reporting</v>
      </c>
      <c r="D168" s="16" t="str">
        <f>IF(COUNTIF('Resolution Log'!$A$5:$A$24,A168)&gt;0,INDEX('Resolution Log'!$G$5:$G$24,MATCH(A168,'Resolution Log'!$A$5:$A$24,0)),IF(COUNTIFS('Consistency Check'!$A$5:$A$99,A168,'Consistency Check'!$D$5:$D$99,"No")&gt;0,INDEX('Consistency Check'!$E$5:$E$99,MATCH(A168,'Consistency Check'!$A$5:$A$99,0)),C168))</f>
        <v>Credit reporting</v>
      </c>
      <c r="E168" s="14" t="str">
        <f>IF(COUNTIF('Resolution Log'!$A$5:$A$24,A168)&gt;0,"Resolution Log (disagreement)",IF(COUNTIFS('Consistency Check'!$A$5:$A$99,A168,'Consistency Check'!$D$5:$D$99,"No")&gt;0,"Consistency Check (agreed label changed)",IF(COUNTIF('Consistency Check'!$A$5:$A$99,A168)&gt;0,"Consistency Check (agreed label confirmed)","Agreed label")))</f>
        <v>Agreed label</v>
      </c>
      <c r="F168" s="14" t="str">
        <f t="shared" si="10"/>
        <v/>
      </c>
      <c r="G168" s="14" t="str">
        <f t="shared" si="11"/>
        <v/>
      </c>
    </row>
    <row r="169" spans="1:7" ht="15" customHeight="1" x14ac:dyDescent="0.25">
      <c r="A169" s="14">
        <v>8921</v>
      </c>
      <c r="B169" s="14" t="str">
        <f>INDEX('Labeler 1'!$C$2:$C$181,MATCH(A169,'Labeler 1'!$A$2:$A$181,0))</f>
        <v>Credit card</v>
      </c>
      <c r="C169" s="14" t="str">
        <f>INDEX('Labeler 2'!$C$2:$C$181,MATCH(A169,'Labeler 2'!$A$2:$A$181,0))</f>
        <v>Credit card</v>
      </c>
      <c r="D169" s="16" t="str">
        <f>IF(COUNTIF('Resolution Log'!$A$5:$A$24,A169)&gt;0,INDEX('Resolution Log'!$G$5:$G$24,MATCH(A169,'Resolution Log'!$A$5:$A$24,0)),IF(COUNTIFS('Consistency Check'!$A$5:$A$99,A169,'Consistency Check'!$D$5:$D$99,"No")&gt;0,INDEX('Consistency Check'!$E$5:$E$99,MATCH(A169,'Consistency Check'!$A$5:$A$99,0)),C169))</f>
        <v>Credit card</v>
      </c>
      <c r="E169" s="14" t="str">
        <f>IF(COUNTIF('Resolution Log'!$A$5:$A$24,A169)&gt;0,"Resolution Log (disagreement)",IF(COUNTIFS('Consistency Check'!$A$5:$A$99,A169,'Consistency Check'!$D$5:$D$99,"No")&gt;0,"Consistency Check (agreed label changed)",IF(COUNTIF('Consistency Check'!$A$5:$A$99,A169)&gt;0,"Consistency Check (agreed label confirmed)","Agreed label")))</f>
        <v>Agreed label</v>
      </c>
      <c r="F169" s="14" t="str">
        <f t="shared" si="10"/>
        <v/>
      </c>
      <c r="G169" s="14" t="str">
        <f t="shared" si="11"/>
        <v/>
      </c>
    </row>
    <row r="170" spans="1:7" ht="15" customHeight="1" x14ac:dyDescent="0.25">
      <c r="A170" s="14">
        <v>8954</v>
      </c>
      <c r="B170" s="14" t="str">
        <f>INDEX('Labeler 1'!$C$2:$C$181,MATCH(A170,'Labeler 1'!$A$2:$A$181,0))</f>
        <v>Bank account or service</v>
      </c>
      <c r="C170" s="14" t="str">
        <f>INDEX('Labeler 2'!$C$2:$C$181,MATCH(A170,'Labeler 2'!$A$2:$A$181,0))</f>
        <v>Bank account or service</v>
      </c>
      <c r="D170" s="16" t="str">
        <f>IF(COUNTIF('Resolution Log'!$A$5:$A$24,A170)&gt;0,INDEX('Resolution Log'!$G$5:$G$24,MATCH(A170,'Resolution Log'!$A$5:$A$24,0)),IF(COUNTIFS('Consistency Check'!$A$5:$A$99,A170,'Consistency Check'!$D$5:$D$99,"No")&gt;0,INDEX('Consistency Check'!$E$5:$E$99,MATCH(A170,'Consistency Check'!$A$5:$A$99,0)),C170))</f>
        <v>Bank account or service</v>
      </c>
      <c r="E170" s="14" t="str">
        <f>IF(COUNTIF('Resolution Log'!$A$5:$A$24,A170)&gt;0,"Resolution Log (disagreement)",IF(COUNTIFS('Consistency Check'!$A$5:$A$99,A170,'Consistency Check'!$D$5:$D$99,"No")&gt;0,"Consistency Check (agreed label changed)",IF(COUNTIF('Consistency Check'!$A$5:$A$99,A170)&gt;0,"Consistency Check (agreed label confirmed)","Agreed label")))</f>
        <v>Consistency Check (agreed label confirmed)</v>
      </c>
      <c r="F170" s="14" t="str">
        <f t="shared" si="10"/>
        <v/>
      </c>
      <c r="G170" s="14" t="str">
        <f t="shared" si="11"/>
        <v/>
      </c>
    </row>
    <row r="171" spans="1:7" ht="15" customHeight="1" x14ac:dyDescent="0.25">
      <c r="A171" s="14">
        <v>8959</v>
      </c>
      <c r="B171" s="14" t="str">
        <f>INDEX('Labeler 1'!$C$2:$C$181,MATCH(A171,'Labeler 1'!$A$2:$A$181,0))</f>
        <v>Consumer loan</v>
      </c>
      <c r="C171" s="14" t="str">
        <f>INDEX('Labeler 2'!$C$2:$C$181,MATCH(A171,'Labeler 2'!$A$2:$A$181,0))</f>
        <v>Consumer loan</v>
      </c>
      <c r="D171" s="16" t="str">
        <f>IF(COUNTIF('Resolution Log'!$A$5:$A$24,A171)&gt;0,INDEX('Resolution Log'!$G$5:$G$24,MATCH(A171,'Resolution Log'!$A$5:$A$24,0)),IF(COUNTIFS('Consistency Check'!$A$5:$A$99,A171,'Consistency Check'!$D$5:$D$99,"No")&gt;0,INDEX('Consistency Check'!$E$5:$E$99,MATCH(A171,'Consistency Check'!$A$5:$A$99,0)),C171))</f>
        <v>Consumer loan</v>
      </c>
      <c r="E171" s="14" t="str">
        <f>IF(COUNTIF('Resolution Log'!$A$5:$A$24,A171)&gt;0,"Resolution Log (disagreement)",IF(COUNTIFS('Consistency Check'!$A$5:$A$99,A171,'Consistency Check'!$D$5:$D$99,"No")&gt;0,"Consistency Check (agreed label changed)",IF(COUNTIF('Consistency Check'!$A$5:$A$99,A171)&gt;0,"Consistency Check (agreed label confirmed)","Agreed label")))</f>
        <v>Agreed label</v>
      </c>
      <c r="F171" s="14" t="str">
        <f t="shared" si="10"/>
        <v/>
      </c>
      <c r="G171" s="14" t="str">
        <f t="shared" si="11"/>
        <v/>
      </c>
    </row>
    <row r="172" spans="1:7" ht="15" customHeight="1" x14ac:dyDescent="0.25">
      <c r="A172" s="14">
        <v>8968</v>
      </c>
      <c r="B172" s="14" t="str">
        <f>INDEX('Labeler 1'!$C$2:$C$181,MATCH(A172,'Labeler 1'!$A$2:$A$181,0))</f>
        <v>Bank account or service</v>
      </c>
      <c r="C172" s="14" t="str">
        <f>INDEX('Labeler 2'!$C$2:$C$181,MATCH(A172,'Labeler 2'!$A$2:$A$181,0))</f>
        <v>Bank account or service</v>
      </c>
      <c r="D172" s="16" t="str">
        <f>IF(COUNTIF('Resolution Log'!$A$5:$A$24,A172)&gt;0,INDEX('Resolution Log'!$G$5:$G$24,MATCH(A172,'Resolution Log'!$A$5:$A$24,0)),IF(COUNTIFS('Consistency Check'!$A$5:$A$99,A172,'Consistency Check'!$D$5:$D$99,"No")&gt;0,INDEX('Consistency Check'!$E$5:$E$99,MATCH(A172,'Consistency Check'!$A$5:$A$99,0)),C172))</f>
        <v>Bank account or service</v>
      </c>
      <c r="E172" s="14" t="str">
        <f>IF(COUNTIF('Resolution Log'!$A$5:$A$24,A172)&gt;0,"Resolution Log (disagreement)",IF(COUNTIFS('Consistency Check'!$A$5:$A$99,A172,'Consistency Check'!$D$5:$D$99,"No")&gt;0,"Consistency Check (agreed label changed)",IF(COUNTIF('Consistency Check'!$A$5:$A$99,A172)&gt;0,"Consistency Check (agreed label confirmed)","Agreed label")))</f>
        <v>Consistency Check (agreed label confirmed)</v>
      </c>
      <c r="F172" s="14" t="str">
        <f t="shared" si="10"/>
        <v/>
      </c>
      <c r="G172" s="14" t="str">
        <f t="shared" si="11"/>
        <v/>
      </c>
    </row>
    <row r="173" spans="1:7" ht="15" customHeight="1" x14ac:dyDescent="0.25">
      <c r="A173" s="14">
        <v>8974</v>
      </c>
      <c r="B173" s="14" t="str">
        <f>INDEX('Labeler 1'!$C$2:$C$181,MATCH(A173,'Labeler 1'!$A$2:$A$181,0))</f>
        <v>Mortgage</v>
      </c>
      <c r="C173" s="14" t="str">
        <f>INDEX('Labeler 2'!$C$2:$C$181,MATCH(A173,'Labeler 2'!$A$2:$A$181,0))</f>
        <v>Mortgage</v>
      </c>
      <c r="D173" s="16" t="str">
        <f>IF(COUNTIF('Resolution Log'!$A$5:$A$24,A173)&gt;0,INDEX('Resolution Log'!$G$5:$G$24,MATCH(A173,'Resolution Log'!$A$5:$A$24,0)),IF(COUNTIFS('Consistency Check'!$A$5:$A$99,A173,'Consistency Check'!$D$5:$D$99,"No")&gt;0,INDEX('Consistency Check'!$E$5:$E$99,MATCH(A173,'Consistency Check'!$A$5:$A$99,0)),C173))</f>
        <v>Mortgage</v>
      </c>
      <c r="E173" s="14" t="str">
        <f>IF(COUNTIF('Resolution Log'!$A$5:$A$24,A173)&gt;0,"Resolution Log (disagreement)",IF(COUNTIFS('Consistency Check'!$A$5:$A$99,A173,'Consistency Check'!$D$5:$D$99,"No")&gt;0,"Consistency Check (agreed label changed)",IF(COUNTIF('Consistency Check'!$A$5:$A$99,A173)&gt;0,"Consistency Check (agreed label confirmed)","Agreed label")))</f>
        <v>Agreed label</v>
      </c>
      <c r="F173" s="14" t="str">
        <f t="shared" si="10"/>
        <v/>
      </c>
      <c r="G173" s="14" t="str">
        <f t="shared" si="11"/>
        <v/>
      </c>
    </row>
    <row r="174" spans="1:7" ht="15" customHeight="1" x14ac:dyDescent="0.25">
      <c r="A174" s="14">
        <v>8976</v>
      </c>
      <c r="B174" s="14" t="str">
        <f>INDEX('Labeler 1'!$C$2:$C$181,MATCH(A174,'Labeler 1'!$A$2:$A$181,0))</f>
        <v>Credit reporting</v>
      </c>
      <c r="C174" s="14" t="str">
        <f>INDEX('Labeler 2'!$C$2:$C$181,MATCH(A174,'Labeler 2'!$A$2:$A$181,0))</f>
        <v>Credit reporting</v>
      </c>
      <c r="D174" s="16" t="str">
        <f>IF(COUNTIF('Resolution Log'!$A$5:$A$24,A174)&gt;0,INDEX('Resolution Log'!$G$5:$G$24,MATCH(A174,'Resolution Log'!$A$5:$A$24,0)),IF(COUNTIFS('Consistency Check'!$A$5:$A$99,A174,'Consistency Check'!$D$5:$D$99,"No")&gt;0,INDEX('Consistency Check'!$E$5:$E$99,MATCH(A174,'Consistency Check'!$A$5:$A$99,0)),C174))</f>
        <v>Credit reporting</v>
      </c>
      <c r="E174" s="14" t="str">
        <f>IF(COUNTIF('Resolution Log'!$A$5:$A$24,A174)&gt;0,"Resolution Log (disagreement)",IF(COUNTIFS('Consistency Check'!$A$5:$A$99,A174,'Consistency Check'!$D$5:$D$99,"No")&gt;0,"Consistency Check (agreed label changed)",IF(COUNTIF('Consistency Check'!$A$5:$A$99,A174)&gt;0,"Consistency Check (agreed label confirmed)","Agreed label")))</f>
        <v>Consistency Check (agreed label confirmed)</v>
      </c>
      <c r="F174" s="14" t="str">
        <f t="shared" si="10"/>
        <v/>
      </c>
      <c r="G174" s="14" t="str">
        <f t="shared" si="11"/>
        <v/>
      </c>
    </row>
    <row r="175" spans="1:7" ht="15" customHeight="1" x14ac:dyDescent="0.25">
      <c r="A175" s="14">
        <v>8982</v>
      </c>
      <c r="B175" s="14" t="str">
        <f>INDEX('Labeler 1'!$C$2:$C$181,MATCH(A175,'Labeler 1'!$A$2:$A$181,0))</f>
        <v>Bank account or service</v>
      </c>
      <c r="C175" s="14" t="str">
        <f>INDEX('Labeler 2'!$C$2:$C$181,MATCH(A175,'Labeler 2'!$A$2:$A$181,0))</f>
        <v>Bank account or service</v>
      </c>
      <c r="D175" s="16" t="str">
        <f>IF(COUNTIF('Resolution Log'!$A$5:$A$24,A175)&gt;0,INDEX('Resolution Log'!$G$5:$G$24,MATCH(A175,'Resolution Log'!$A$5:$A$24,0)),IF(COUNTIFS('Consistency Check'!$A$5:$A$99,A175,'Consistency Check'!$D$5:$D$99,"No")&gt;0,INDEX('Consistency Check'!$E$5:$E$99,MATCH(A175,'Consistency Check'!$A$5:$A$99,0)),C175))</f>
        <v>Bank account or service</v>
      </c>
      <c r="E175" s="14" t="str">
        <f>IF(COUNTIF('Resolution Log'!$A$5:$A$24,A175)&gt;0,"Resolution Log (disagreement)",IF(COUNTIFS('Consistency Check'!$A$5:$A$99,A175,'Consistency Check'!$D$5:$D$99,"No")&gt;0,"Consistency Check (agreed label changed)",IF(COUNTIF('Consistency Check'!$A$5:$A$99,A175)&gt;0,"Consistency Check (agreed label confirmed)","Agreed label")))</f>
        <v>Agreed label</v>
      </c>
      <c r="F175" s="14" t="str">
        <f t="shared" si="10"/>
        <v/>
      </c>
      <c r="G175" s="14" t="str">
        <f t="shared" si="11"/>
        <v/>
      </c>
    </row>
    <row r="176" spans="1:7" ht="15" customHeight="1" x14ac:dyDescent="0.25">
      <c r="A176" s="14">
        <v>8983</v>
      </c>
      <c r="B176" s="14" t="str">
        <f>INDEX('Labeler 1'!$C$2:$C$181,MATCH(A176,'Labeler 1'!$A$2:$A$181,0))</f>
        <v>Mortgage</v>
      </c>
      <c r="C176" s="14" t="str">
        <f>INDEX('Labeler 2'!$C$2:$C$181,MATCH(A176,'Labeler 2'!$A$2:$A$181,0))</f>
        <v>Mortgage</v>
      </c>
      <c r="D176" s="16" t="str">
        <f>IF(COUNTIF('Resolution Log'!$A$5:$A$24,A176)&gt;0,INDEX('Resolution Log'!$G$5:$G$24,MATCH(A176,'Resolution Log'!$A$5:$A$24,0)),IF(COUNTIFS('Consistency Check'!$A$5:$A$99,A176,'Consistency Check'!$D$5:$D$99,"No")&gt;0,INDEX('Consistency Check'!$E$5:$E$99,MATCH(A176,'Consistency Check'!$A$5:$A$99,0)),C176))</f>
        <v>Mortgage</v>
      </c>
      <c r="E176" s="14" t="str">
        <f>IF(COUNTIF('Resolution Log'!$A$5:$A$24,A176)&gt;0,"Resolution Log (disagreement)",IF(COUNTIFS('Consistency Check'!$A$5:$A$99,A176,'Consistency Check'!$D$5:$D$99,"No")&gt;0,"Consistency Check (agreed label changed)",IF(COUNTIF('Consistency Check'!$A$5:$A$99,A176)&gt;0,"Consistency Check (agreed label confirmed)","Agreed label")))</f>
        <v>Agreed label</v>
      </c>
      <c r="F176" s="14" t="str">
        <f t="shared" si="10"/>
        <v/>
      </c>
      <c r="G176" s="14" t="str">
        <f t="shared" si="11"/>
        <v/>
      </c>
    </row>
    <row r="177" spans="1:7" ht="15" customHeight="1" x14ac:dyDescent="0.25">
      <c r="A177" s="14">
        <v>8988</v>
      </c>
      <c r="B177" s="14" t="str">
        <f>INDEX('Labeler 1'!$C$2:$C$181,MATCH(A177,'Labeler 1'!$A$2:$A$181,0))</f>
        <v>Credit reporting</v>
      </c>
      <c r="C177" s="14" t="str">
        <f>INDEX('Labeler 2'!$C$2:$C$181,MATCH(A177,'Labeler 2'!$A$2:$A$181,0))</f>
        <v>Credit reporting</v>
      </c>
      <c r="D177" s="16" t="str">
        <f>IF(COUNTIF('Resolution Log'!$A$5:$A$24,A177)&gt;0,INDEX('Resolution Log'!$G$5:$G$24,MATCH(A177,'Resolution Log'!$A$5:$A$24,0)),IF(COUNTIFS('Consistency Check'!$A$5:$A$99,A177,'Consistency Check'!$D$5:$D$99,"No")&gt;0,INDEX('Consistency Check'!$E$5:$E$99,MATCH(A177,'Consistency Check'!$A$5:$A$99,0)),C177))</f>
        <v>Credit reporting</v>
      </c>
      <c r="E177" s="14" t="str">
        <f>IF(COUNTIF('Resolution Log'!$A$5:$A$24,A177)&gt;0,"Resolution Log (disagreement)",IF(COUNTIFS('Consistency Check'!$A$5:$A$99,A177,'Consistency Check'!$D$5:$D$99,"No")&gt;0,"Consistency Check (agreed label changed)",IF(COUNTIF('Consistency Check'!$A$5:$A$99,A177)&gt;0,"Consistency Check (agreed label confirmed)","Agreed label")))</f>
        <v>Consistency Check (agreed label confirmed)</v>
      </c>
      <c r="F177" s="14" t="str">
        <f t="shared" si="10"/>
        <v/>
      </c>
      <c r="G177" s="14" t="str">
        <f t="shared" si="11"/>
        <v/>
      </c>
    </row>
    <row r="178" spans="1:7" ht="15" customHeight="1" x14ac:dyDescent="0.25">
      <c r="A178" s="14">
        <v>8989</v>
      </c>
      <c r="B178" s="14" t="str">
        <f>INDEX('Labeler 1'!$C$2:$C$181,MATCH(A178,'Labeler 1'!$A$2:$A$181,0))</f>
        <v>Credit card</v>
      </c>
      <c r="C178" s="14" t="str">
        <f>INDEX('Labeler 2'!$C$2:$C$181,MATCH(A178,'Labeler 2'!$A$2:$A$181,0))</f>
        <v>Credit card</v>
      </c>
      <c r="D178" s="16" t="str">
        <f>IF(COUNTIF('Resolution Log'!$A$5:$A$24,A178)&gt;0,INDEX('Resolution Log'!$G$5:$G$24,MATCH(A178,'Resolution Log'!$A$5:$A$24,0)),IF(COUNTIFS('Consistency Check'!$A$5:$A$99,A178,'Consistency Check'!$D$5:$D$99,"No")&gt;0,INDEX('Consistency Check'!$E$5:$E$99,MATCH(A178,'Consistency Check'!$A$5:$A$99,0)),C178))</f>
        <v>Credit card</v>
      </c>
      <c r="E178" s="14" t="str">
        <f>IF(COUNTIF('Resolution Log'!$A$5:$A$24,A178)&gt;0,"Resolution Log (disagreement)",IF(COUNTIFS('Consistency Check'!$A$5:$A$99,A178,'Consistency Check'!$D$5:$D$99,"No")&gt;0,"Consistency Check (agreed label changed)",IF(COUNTIF('Consistency Check'!$A$5:$A$99,A178)&gt;0,"Consistency Check (agreed label confirmed)","Agreed label")))</f>
        <v>Consistency Check (agreed label confirmed)</v>
      </c>
      <c r="F178" s="14" t="str">
        <f t="shared" si="10"/>
        <v/>
      </c>
      <c r="G178" s="14" t="str">
        <f t="shared" si="11"/>
        <v/>
      </c>
    </row>
    <row r="179" spans="1:7" ht="15" customHeight="1" x14ac:dyDescent="0.25">
      <c r="A179" s="14">
        <v>8990</v>
      </c>
      <c r="B179" s="14" t="str">
        <f>INDEX('Labeler 1'!$C$2:$C$181,MATCH(A179,'Labeler 1'!$A$2:$A$181,0))</f>
        <v>Credit reporting</v>
      </c>
      <c r="C179" s="14" t="str">
        <f>INDEX('Labeler 2'!$C$2:$C$181,MATCH(A179,'Labeler 2'!$A$2:$A$181,0))</f>
        <v>Credit reporting</v>
      </c>
      <c r="D179" s="16" t="str">
        <f>IF(COUNTIF('Resolution Log'!$A$5:$A$24,A179)&gt;0,INDEX('Resolution Log'!$G$5:$G$24,MATCH(A179,'Resolution Log'!$A$5:$A$24,0)),IF(COUNTIFS('Consistency Check'!$A$5:$A$99,A179,'Consistency Check'!$D$5:$D$99,"No")&gt;0,INDEX('Consistency Check'!$E$5:$E$99,MATCH(A179,'Consistency Check'!$A$5:$A$99,0)),C179))</f>
        <v>Credit reporting</v>
      </c>
      <c r="E179" s="14" t="str">
        <f>IF(COUNTIF('Resolution Log'!$A$5:$A$24,A179)&gt;0,"Resolution Log (disagreement)",IF(COUNTIFS('Consistency Check'!$A$5:$A$99,A179,'Consistency Check'!$D$5:$D$99,"No")&gt;0,"Consistency Check (agreed label changed)",IF(COUNTIF('Consistency Check'!$A$5:$A$99,A179)&gt;0,"Consistency Check (agreed label confirmed)","Agreed label")))</f>
        <v>Agreed label</v>
      </c>
      <c r="F179" s="14" t="str">
        <f t="shared" si="10"/>
        <v/>
      </c>
      <c r="G179" s="14" t="str">
        <f t="shared" si="11"/>
        <v/>
      </c>
    </row>
    <row r="180" spans="1:7" ht="15" customHeight="1" x14ac:dyDescent="0.25">
      <c r="A180" s="14">
        <v>8991</v>
      </c>
      <c r="B180" s="14" t="str">
        <f>INDEX('Labeler 1'!$C$2:$C$181,MATCH(A180,'Labeler 1'!$A$2:$A$181,0))</f>
        <v>Mortgage</v>
      </c>
      <c r="C180" s="14" t="str">
        <f>INDEX('Labeler 2'!$C$2:$C$181,MATCH(A180,'Labeler 2'!$A$2:$A$181,0))</f>
        <v>Mortgage</v>
      </c>
      <c r="D180" s="16" t="str">
        <f>IF(COUNTIF('Resolution Log'!$A$5:$A$24,A180)&gt;0,INDEX('Resolution Log'!$G$5:$G$24,MATCH(A180,'Resolution Log'!$A$5:$A$24,0)),IF(COUNTIFS('Consistency Check'!$A$5:$A$99,A180,'Consistency Check'!$D$5:$D$99,"No")&gt;0,INDEX('Consistency Check'!$E$5:$E$99,MATCH(A180,'Consistency Check'!$A$5:$A$99,0)),C180))</f>
        <v>Mortgage</v>
      </c>
      <c r="E180" s="14" t="str">
        <f>IF(COUNTIF('Resolution Log'!$A$5:$A$24,A180)&gt;0,"Resolution Log (disagreement)",IF(COUNTIFS('Consistency Check'!$A$5:$A$99,A180,'Consistency Check'!$D$5:$D$99,"No")&gt;0,"Consistency Check (agreed label changed)",IF(COUNTIF('Consistency Check'!$A$5:$A$99,A180)&gt;0,"Consistency Check (agreed label confirmed)","Agreed label")))</f>
        <v>Agreed label</v>
      </c>
      <c r="F180" s="14" t="str">
        <f t="shared" si="10"/>
        <v/>
      </c>
      <c r="G180" s="14" t="str">
        <f t="shared" si="11"/>
        <v/>
      </c>
    </row>
    <row r="181" spans="1:7" ht="15" customHeight="1" x14ac:dyDescent="0.25">
      <c r="A181" s="14">
        <v>8993</v>
      </c>
      <c r="B181" s="14" t="str">
        <f>INDEX('Labeler 1'!$C$2:$C$181,MATCH(A181,'Labeler 1'!$A$2:$A$181,0))</f>
        <v>Mortgage</v>
      </c>
      <c r="C181" s="14" t="str">
        <f>INDEX('Labeler 2'!$C$2:$C$181,MATCH(A181,'Labeler 2'!$A$2:$A$181,0))</f>
        <v>Mortgage</v>
      </c>
      <c r="D181" s="16" t="str">
        <f>IF(COUNTIF('Resolution Log'!$A$5:$A$24,A181)&gt;0,INDEX('Resolution Log'!$G$5:$G$24,MATCH(A181,'Resolution Log'!$A$5:$A$24,0)),IF(COUNTIFS('Consistency Check'!$A$5:$A$99,A181,'Consistency Check'!$D$5:$D$99,"No")&gt;0,INDEX('Consistency Check'!$E$5:$E$99,MATCH(A181,'Consistency Check'!$A$5:$A$99,0)),C181))</f>
        <v>Mortgage</v>
      </c>
      <c r="E181" s="14" t="str">
        <f>IF(COUNTIF('Resolution Log'!$A$5:$A$24,A181)&gt;0,"Resolution Log (disagreement)",IF(COUNTIFS('Consistency Check'!$A$5:$A$99,A181,'Consistency Check'!$D$5:$D$99,"No")&gt;0,"Consistency Check (agreed label changed)",IF(COUNTIF('Consistency Check'!$A$5:$A$99,A181)&gt;0,"Consistency Check (agreed label confirmed)","Agreed label")))</f>
        <v>Agreed label</v>
      </c>
      <c r="F181" s="14" t="str">
        <f t="shared" si="10"/>
        <v/>
      </c>
      <c r="G181" s="14" t="str">
        <f t="shared" si="11"/>
        <v/>
      </c>
    </row>
    <row r="182" spans="1:7" ht="15" customHeight="1" x14ac:dyDescent="0.25">
      <c r="A182" s="14">
        <v>8995</v>
      </c>
      <c r="B182" s="14" t="str">
        <f>INDEX('Labeler 1'!$C$2:$C$181,MATCH(A182,'Labeler 1'!$A$2:$A$181,0))</f>
        <v>Consumer loan</v>
      </c>
      <c r="C182" s="14" t="str">
        <f>INDEX('Labeler 2'!$C$2:$C$181,MATCH(A182,'Labeler 2'!$A$2:$A$181,0))</f>
        <v>Consumer loan</v>
      </c>
      <c r="D182" s="16" t="str">
        <f>IF(COUNTIF('Resolution Log'!$A$5:$A$24,A182)&gt;0,INDEX('Resolution Log'!$G$5:$G$24,MATCH(A182,'Resolution Log'!$A$5:$A$24,0)),IF(COUNTIFS('Consistency Check'!$A$5:$A$99,A182,'Consistency Check'!$D$5:$D$99,"No")&gt;0,INDEX('Consistency Check'!$E$5:$E$99,MATCH(A182,'Consistency Check'!$A$5:$A$99,0)),C182))</f>
        <v>Consumer loan</v>
      </c>
      <c r="E182" s="14" t="str">
        <f>IF(COUNTIF('Resolution Log'!$A$5:$A$24,A182)&gt;0,"Resolution Log (disagreement)",IF(COUNTIFS('Consistency Check'!$A$5:$A$99,A182,'Consistency Check'!$D$5:$D$99,"No")&gt;0,"Consistency Check (agreed label changed)",IF(COUNTIF('Consistency Check'!$A$5:$A$99,A182)&gt;0,"Consistency Check (agreed label confirmed)","Agreed label")))</f>
        <v>Agreed label</v>
      </c>
      <c r="F182" s="14" t="str">
        <f t="shared" si="10"/>
        <v/>
      </c>
      <c r="G182" s="14" t="str">
        <f t="shared" si="11"/>
        <v/>
      </c>
    </row>
    <row r="183" spans="1:7" ht="15" customHeight="1" x14ac:dyDescent="0.25">
      <c r="A183" s="14">
        <v>8997</v>
      </c>
      <c r="B183" s="14" t="str">
        <f>INDEX('Labeler 1'!$C$2:$C$181,MATCH(A183,'Labeler 1'!$A$2:$A$181,0))</f>
        <v>Money transfer or service</v>
      </c>
      <c r="C183" s="14" t="str">
        <f>INDEX('Labeler 2'!$C$2:$C$181,MATCH(A183,'Labeler 2'!$A$2:$A$181,0))</f>
        <v>Money transfer or service</v>
      </c>
      <c r="D183" s="16" t="str">
        <f>IF(COUNTIF('Resolution Log'!$A$5:$A$24,A183)&gt;0,INDEX('Resolution Log'!$G$5:$G$24,MATCH(A183,'Resolution Log'!$A$5:$A$24,0)),IF(COUNTIFS('Consistency Check'!$A$5:$A$99,A183,'Consistency Check'!$D$5:$D$99,"No")&gt;0,INDEX('Consistency Check'!$E$5:$E$99,MATCH(A183,'Consistency Check'!$A$5:$A$99,0)),C183))</f>
        <v>Money transfer or service</v>
      </c>
      <c r="E183" s="14" t="str">
        <f>IF(COUNTIF('Resolution Log'!$A$5:$A$24,A183)&gt;0,"Resolution Log (disagreement)",IF(COUNTIFS('Consistency Check'!$A$5:$A$99,A183,'Consistency Check'!$D$5:$D$99,"No")&gt;0,"Consistency Check (agreed label changed)",IF(COUNTIF('Consistency Check'!$A$5:$A$99,A183)&gt;0,"Consistency Check (agreed label confirmed)","Agreed label")))</f>
        <v>Consistency Check (agreed label confirmed)</v>
      </c>
      <c r="F183" s="14" t="str">
        <f t="shared" si="10"/>
        <v/>
      </c>
      <c r="G183" s="14" t="str">
        <f t="shared" si="11"/>
        <v/>
      </c>
    </row>
    <row r="184" spans="1:7" ht="15" customHeight="1" x14ac:dyDescent="0.25">
      <c r="A184" s="14">
        <v>8999</v>
      </c>
      <c r="B184" s="14" t="str">
        <f>INDEX('Labeler 1'!$C$2:$C$181,MATCH(A184,'Labeler 1'!$A$2:$A$181,0))</f>
        <v>Consumer loan</v>
      </c>
      <c r="C184" s="14" t="str">
        <f>INDEX('Labeler 2'!$C$2:$C$181,MATCH(A184,'Labeler 2'!$A$2:$A$181,0))</f>
        <v>Consumer loan</v>
      </c>
      <c r="D184" s="16" t="str">
        <f>IF(COUNTIF('Resolution Log'!$A$5:$A$24,A184)&gt;0,INDEX('Resolution Log'!$G$5:$G$24,MATCH(A184,'Resolution Log'!$A$5:$A$24,0)),IF(COUNTIFS('Consistency Check'!$A$5:$A$99,A184,'Consistency Check'!$D$5:$D$99,"No")&gt;0,INDEX('Consistency Check'!$E$5:$E$99,MATCH(A184,'Consistency Check'!$A$5:$A$99,0)),C184))</f>
        <v>Consumer loan</v>
      </c>
      <c r="E184" s="14" t="str">
        <f>IF(COUNTIF('Resolution Log'!$A$5:$A$24,A184)&gt;0,"Resolution Log (disagreement)",IF(COUNTIFS('Consistency Check'!$A$5:$A$99,A184,'Consistency Check'!$D$5:$D$99,"No")&gt;0,"Consistency Check (agreed label changed)",IF(COUNTIF('Consistency Check'!$A$5:$A$99,A184)&gt;0,"Consistency Check (agreed label confirmed)","Agreed label")))</f>
        <v>Consistency Check (agreed label confirmed)</v>
      </c>
      <c r="F184" s="14" t="str">
        <f t="shared" si="10"/>
        <v/>
      </c>
      <c r="G184" s="14" t="str">
        <f t="shared" si="11"/>
        <v/>
      </c>
    </row>
    <row r="186" spans="1:7" ht="15" customHeight="1" x14ac:dyDescent="0.25">
      <c r="A186" s="4" t="s">
        <v>8</v>
      </c>
    </row>
    <row r="187" spans="1:7" ht="15" customHeight="1" x14ac:dyDescent="0.25">
      <c r="A187" s="3" t="s">
        <v>9</v>
      </c>
      <c r="D187" s="3">
        <f>COUNTA(A5:A184)</f>
        <v>180</v>
      </c>
    </row>
    <row r="188" spans="1:7" ht="15" customHeight="1" x14ac:dyDescent="0.25">
      <c r="A188" s="3" t="s">
        <v>10</v>
      </c>
      <c r="D188" s="3">
        <f>COUNTA(A5:A184)-SUMPRODUCT(COUNTIF(D5:D184,{"Credit reporting","Debt collection","Mortgage","Credit card","Bank account or service","Consumer loan","Money transfer or service"}))</f>
        <v>0</v>
      </c>
    </row>
    <row r="189" spans="1:7" ht="15" customHeight="1" x14ac:dyDescent="0.25">
      <c r="A189" s="3" t="s">
        <v>11</v>
      </c>
      <c r="D189" s="3">
        <f>COUNTIF(E5:E184,"Resolution Log*")</f>
        <v>20</v>
      </c>
    </row>
    <row r="190" spans="1:7" ht="15" customHeight="1" x14ac:dyDescent="0.25">
      <c r="A190" s="3" t="s">
        <v>12</v>
      </c>
      <c r="D190" s="3">
        <f>COUNTIF(E5:E184,"*changed*")</f>
        <v>2</v>
      </c>
    </row>
    <row r="191" spans="1:7" ht="15" customHeight="1" x14ac:dyDescent="0.25">
      <c r="A191" s="3" t="s">
        <v>13</v>
      </c>
      <c r="D191" s="3">
        <f>COUNTIF(E5:E184,"*confirmed*")</f>
        <v>42</v>
      </c>
    </row>
    <row r="192" spans="1:7" ht="15" customHeight="1" x14ac:dyDescent="0.25">
      <c r="A192" s="3" t="s">
        <v>14</v>
      </c>
      <c r="D192" s="3">
        <f>COUNTIF(E5:E184,"Agreed label")</f>
        <v>116</v>
      </c>
    </row>
    <row r="193" spans="1:5" ht="15" customHeight="1" x14ac:dyDescent="0.25">
      <c r="A193" s="3" t="s">
        <v>15</v>
      </c>
      <c r="D193" s="3">
        <f>COUNTIF(F5:F184,"Yes")</f>
        <v>15</v>
      </c>
    </row>
    <row r="194" spans="1:5" ht="15" customHeight="1" x14ac:dyDescent="0.25">
      <c r="A194" s="3" t="s">
        <v>16</v>
      </c>
      <c r="D194" s="3">
        <f>COUNTIF(G5:G184,"Yes")</f>
        <v>10</v>
      </c>
    </row>
    <row r="195" spans="1:5" ht="15" customHeight="1" x14ac:dyDescent="0.25">
      <c r="A195" s="3" t="s">
        <v>17</v>
      </c>
      <c r="D195" s="3">
        <f>COUNTIFS(F5:F184,"Yes",G5:G184,"Yes")</f>
        <v>3</v>
      </c>
    </row>
    <row r="197" spans="1:5" ht="15" customHeight="1" x14ac:dyDescent="0.25">
      <c r="A197" s="4" t="s">
        <v>18</v>
      </c>
    </row>
    <row r="198" spans="1:5" ht="15" customHeight="1" x14ac:dyDescent="0.25">
      <c r="A198" s="3" t="s">
        <v>19</v>
      </c>
      <c r="D198" s="3">
        <f>COUNTIF(D5:D184,A198)</f>
        <v>53</v>
      </c>
      <c r="E198" s="5">
        <f>D198/D187</f>
        <v>0.29444444444444445</v>
      </c>
    </row>
    <row r="199" spans="1:5" ht="15" customHeight="1" x14ac:dyDescent="0.25">
      <c r="A199" s="3" t="s">
        <v>20</v>
      </c>
      <c r="D199" s="3">
        <f>COUNTIF(D5:D184,A199)</f>
        <v>16</v>
      </c>
      <c r="E199" s="5">
        <f>D199/D187</f>
        <v>8.8888888888888892E-2</v>
      </c>
    </row>
    <row r="200" spans="1:5" ht="15" customHeight="1" x14ac:dyDescent="0.25">
      <c r="A200" s="3" t="s">
        <v>21</v>
      </c>
      <c r="D200" s="3">
        <f>COUNTIF(D5:D184,A200)</f>
        <v>26</v>
      </c>
      <c r="E200" s="5">
        <f>D200/D187</f>
        <v>0.14444444444444443</v>
      </c>
    </row>
    <row r="201" spans="1:5" ht="15" customHeight="1" x14ac:dyDescent="0.25">
      <c r="A201" s="3" t="s">
        <v>22</v>
      </c>
      <c r="D201" s="3">
        <f>COUNTIF(D5:D184,A201)</f>
        <v>20</v>
      </c>
      <c r="E201" s="5">
        <f>D201/D187</f>
        <v>0.1111111111111111</v>
      </c>
    </row>
    <row r="202" spans="1:5" ht="15" customHeight="1" x14ac:dyDescent="0.25">
      <c r="A202" s="3" t="s">
        <v>23</v>
      </c>
      <c r="D202" s="3">
        <f>COUNTIF(D5:D184,A202)</f>
        <v>23</v>
      </c>
      <c r="E202" s="5">
        <f>D202/D187</f>
        <v>0.12777777777777777</v>
      </c>
    </row>
    <row r="203" spans="1:5" ht="15" customHeight="1" x14ac:dyDescent="0.25">
      <c r="A203" s="3" t="s">
        <v>24</v>
      </c>
      <c r="D203" s="3">
        <f>COUNTIF(D5:D184,A203)</f>
        <v>19</v>
      </c>
      <c r="E203" s="5">
        <f>D203/D187</f>
        <v>0.10555555555555556</v>
      </c>
    </row>
    <row r="204" spans="1:5" ht="15" customHeight="1" x14ac:dyDescent="0.25">
      <c r="A204" s="3" t="s">
        <v>25</v>
      </c>
      <c r="D204" s="3">
        <f>COUNTIF(D5:D184,A204)</f>
        <v>23</v>
      </c>
      <c r="E204" s="5">
        <f>D204/D187</f>
        <v>0.12777777777777777</v>
      </c>
    </row>
  </sheetData>
  <autoFilter ref="A4:G4" xr:uid="{00000000-0001-0000-0000-000000000000}"/>
  <mergeCells count="1">
    <mergeCell ref="A2:G2"/>
  </mergeCells>
  <conditionalFormatting sqref="F5:G185">
    <cfRule type="cellIs" dxfId="0" priority="1" operator="equal">
      <formula>"Yes"</formula>
    </cfRule>
  </conditionalFormatting>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000"/>
  <sheetViews>
    <sheetView showGridLines="0" zoomScale="85" zoomScaleNormal="85" workbookViewId="0">
      <selection activeCell="B8" sqref="B8"/>
    </sheetView>
  </sheetViews>
  <sheetFormatPr defaultColWidth="14.42578125" defaultRowHeight="15" x14ac:dyDescent="0.25"/>
  <cols>
    <col min="1" max="1" width="29.7109375" customWidth="1"/>
    <col min="2" max="2" width="54.85546875" bestFit="1" customWidth="1"/>
    <col min="3" max="3" width="68.5703125" customWidth="1"/>
    <col min="4" max="26" width="8.7109375" customWidth="1"/>
  </cols>
  <sheetData>
    <row r="1" spans="1:3" ht="17.25" customHeight="1" x14ac:dyDescent="0.25">
      <c r="A1" s="13" t="s">
        <v>508</v>
      </c>
    </row>
    <row r="2" spans="1:3" ht="30" customHeight="1" x14ac:dyDescent="0.25">
      <c r="A2" s="42" t="s">
        <v>507</v>
      </c>
      <c r="B2" s="43"/>
      <c r="C2" s="43"/>
    </row>
    <row r="4" spans="1:3" ht="15" customHeight="1" x14ac:dyDescent="0.25">
      <c r="A4" s="10" t="s">
        <v>26</v>
      </c>
      <c r="B4" s="6" t="s">
        <v>27</v>
      </c>
      <c r="C4" s="6" t="s">
        <v>28</v>
      </c>
    </row>
    <row r="5" spans="1:3" ht="90" customHeight="1" x14ac:dyDescent="0.25">
      <c r="A5" s="11" t="s">
        <v>19</v>
      </c>
      <c r="B5" s="8" t="s">
        <v>29</v>
      </c>
      <c r="C5" s="9" t="s">
        <v>30</v>
      </c>
    </row>
    <row r="6" spans="1:3" ht="90" customHeight="1" x14ac:dyDescent="0.25">
      <c r="A6" s="11" t="s">
        <v>20</v>
      </c>
      <c r="B6" s="9" t="s">
        <v>31</v>
      </c>
      <c r="C6" s="9" t="s">
        <v>32</v>
      </c>
    </row>
    <row r="7" spans="1:3" ht="90" customHeight="1" x14ac:dyDescent="0.25">
      <c r="A7" s="11" t="s">
        <v>21</v>
      </c>
      <c r="B7" s="8" t="s">
        <v>33</v>
      </c>
      <c r="C7" s="9" t="s">
        <v>34</v>
      </c>
    </row>
    <row r="8" spans="1:3" ht="94.5" customHeight="1" x14ac:dyDescent="0.25">
      <c r="A8" s="11" t="s">
        <v>22</v>
      </c>
      <c r="B8" s="8" t="s">
        <v>35</v>
      </c>
      <c r="C8" s="9" t="s">
        <v>36</v>
      </c>
    </row>
    <row r="9" spans="1:3" ht="120" customHeight="1" x14ac:dyDescent="0.25">
      <c r="A9" s="11" t="s">
        <v>23</v>
      </c>
      <c r="B9" s="9" t="s">
        <v>37</v>
      </c>
      <c r="C9" s="9" t="s">
        <v>38</v>
      </c>
    </row>
    <row r="10" spans="1:3" ht="99.75" x14ac:dyDescent="0.25">
      <c r="A10" s="11" t="s">
        <v>24</v>
      </c>
      <c r="B10" s="8" t="s">
        <v>39</v>
      </c>
      <c r="C10" s="9" t="s">
        <v>40</v>
      </c>
    </row>
    <row r="11" spans="1:3" ht="75" customHeight="1" x14ac:dyDescent="0.25">
      <c r="A11" s="11" t="s">
        <v>25</v>
      </c>
      <c r="B11" s="9" t="s">
        <v>41</v>
      </c>
      <c r="C11" s="9" t="s">
        <v>42</v>
      </c>
    </row>
    <row r="13" spans="1:3" ht="15" customHeight="1" x14ac:dyDescent="0.25">
      <c r="A13" s="38" t="s">
        <v>505</v>
      </c>
      <c r="B13" s="38"/>
      <c r="C13" s="38"/>
    </row>
    <row r="14" spans="1:3" ht="45" customHeight="1" x14ac:dyDescent="0.25">
      <c r="A14" s="7" t="s">
        <v>43</v>
      </c>
      <c r="B14" s="39" t="s">
        <v>44</v>
      </c>
      <c r="C14" s="39"/>
    </row>
    <row r="15" spans="1:3" ht="45" customHeight="1" x14ac:dyDescent="0.25">
      <c r="A15" s="7" t="s">
        <v>45</v>
      </c>
      <c r="B15" s="39" t="s">
        <v>46</v>
      </c>
      <c r="C15" s="39"/>
    </row>
    <row r="16" spans="1:3" ht="120" customHeight="1" x14ac:dyDescent="0.25">
      <c r="A16" s="12" t="s">
        <v>47</v>
      </c>
      <c r="B16" s="40" t="s">
        <v>48</v>
      </c>
      <c r="C16" s="40"/>
    </row>
    <row r="17" spans="1:3" ht="75" customHeight="1" x14ac:dyDescent="0.25">
      <c r="A17" s="12" t="s">
        <v>49</v>
      </c>
      <c r="B17" s="40" t="s">
        <v>50</v>
      </c>
      <c r="C17" s="40"/>
    </row>
    <row r="18" spans="1:3" ht="45" customHeight="1" x14ac:dyDescent="0.25">
      <c r="A18" s="12" t="s">
        <v>51</v>
      </c>
      <c r="B18" s="40" t="s">
        <v>52</v>
      </c>
      <c r="C18" s="40"/>
    </row>
    <row r="19" spans="1:3" ht="15" customHeight="1" x14ac:dyDescent="0.25">
      <c r="A19" s="12" t="s">
        <v>53</v>
      </c>
      <c r="B19" s="40" t="s">
        <v>54</v>
      </c>
      <c r="C19" s="40"/>
    </row>
    <row r="20" spans="1:3" ht="15" customHeight="1" x14ac:dyDescent="0.25">
      <c r="A20" s="41" t="s">
        <v>55</v>
      </c>
      <c r="B20" s="41"/>
      <c r="C20" s="41"/>
    </row>
    <row r="21" spans="1:3" ht="15.75" customHeight="1" x14ac:dyDescent="0.25">
      <c r="A21" s="37" t="s">
        <v>56</v>
      </c>
      <c r="B21" s="37"/>
      <c r="C21" s="37"/>
    </row>
    <row r="22" spans="1:3" ht="15.75" customHeight="1" x14ac:dyDescent="0.25">
      <c r="A22" s="37" t="s">
        <v>57</v>
      </c>
      <c r="B22" s="37"/>
      <c r="C22" s="37"/>
    </row>
    <row r="23" spans="1:3" ht="15.75" customHeight="1" x14ac:dyDescent="0.25">
      <c r="A23" s="37" t="s">
        <v>58</v>
      </c>
      <c r="B23" s="37"/>
      <c r="C23" s="37"/>
    </row>
    <row r="24" spans="1:3" ht="15.75" customHeight="1" x14ac:dyDescent="0.25">
      <c r="A24" s="37" t="s">
        <v>59</v>
      </c>
      <c r="B24" s="37"/>
      <c r="C24" s="37"/>
    </row>
    <row r="25" spans="1:3" ht="15.75" customHeight="1" x14ac:dyDescent="0.25">
      <c r="A25" s="37" t="s">
        <v>60</v>
      </c>
      <c r="B25" s="37"/>
      <c r="C25" s="37"/>
    </row>
    <row r="26" spans="1:3" ht="15.75" customHeight="1" x14ac:dyDescent="0.25"/>
    <row r="27" spans="1:3" ht="15.75" customHeight="1" x14ac:dyDescent="0.25"/>
    <row r="28" spans="1:3" ht="15.75" customHeight="1" x14ac:dyDescent="0.25"/>
    <row r="29" spans="1:3" ht="15.75" customHeight="1" x14ac:dyDescent="0.25"/>
    <row r="30" spans="1:3" ht="15.75" customHeight="1" x14ac:dyDescent="0.25"/>
    <row r="31" spans="1:3" ht="15.75" customHeight="1" x14ac:dyDescent="0.25"/>
    <row r="32" spans="1:3"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4">
    <mergeCell ref="A2:C2"/>
    <mergeCell ref="B16:C16"/>
    <mergeCell ref="B17:C17"/>
    <mergeCell ref="B18:C18"/>
    <mergeCell ref="A21:C21"/>
    <mergeCell ref="A22:C22"/>
    <mergeCell ref="A23:C23"/>
    <mergeCell ref="A24:C24"/>
    <mergeCell ref="A25:C25"/>
    <mergeCell ref="A13:C13"/>
    <mergeCell ref="B14:C14"/>
    <mergeCell ref="B15:C15"/>
    <mergeCell ref="B19:C19"/>
    <mergeCell ref="A20:C20"/>
  </mergeCells>
  <pageMargins left="0.75" right="0.75" top="1" bottom="1" header="0.511811023622047" footer="0.511811023622047"/>
  <pageSetup orientation="landscape"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000"/>
  <sheetViews>
    <sheetView showGridLines="0" zoomScale="85" zoomScaleNormal="85" workbookViewId="0">
      <pane ySplit="1" topLeftCell="A39" activePane="bottomLeft" state="frozen"/>
      <selection pane="bottomLeft" activeCell="H7" sqref="H7"/>
    </sheetView>
  </sheetViews>
  <sheetFormatPr defaultColWidth="14.42578125" defaultRowHeight="15" x14ac:dyDescent="0.25"/>
  <cols>
    <col min="1" max="1" width="10" customWidth="1"/>
    <col min="2" max="2" width="90" customWidth="1"/>
    <col min="3" max="3" width="26" customWidth="1"/>
    <col min="4" max="4" width="48.7109375" style="21" customWidth="1"/>
    <col min="5" max="25" width="8.7109375" customWidth="1"/>
  </cols>
  <sheetData>
    <row r="1" spans="1:4" ht="15" customHeight="1" x14ac:dyDescent="0.25">
      <c r="A1" s="6" t="s">
        <v>1</v>
      </c>
      <c r="B1" s="6" t="s">
        <v>89</v>
      </c>
      <c r="C1" s="6" t="s">
        <v>90</v>
      </c>
      <c r="D1" s="20" t="s">
        <v>312</v>
      </c>
    </row>
    <row r="2" spans="1:4" ht="30" customHeight="1" x14ac:dyDescent="0.25">
      <c r="A2" s="56">
        <v>8022</v>
      </c>
      <c r="B2" s="57" t="s">
        <v>125</v>
      </c>
      <c r="C2" s="58" t="s">
        <v>19</v>
      </c>
      <c r="D2" s="59"/>
    </row>
    <row r="3" spans="1:4" ht="30" customHeight="1" x14ac:dyDescent="0.25">
      <c r="A3" s="56">
        <v>8024</v>
      </c>
      <c r="B3" s="57" t="s">
        <v>266</v>
      </c>
      <c r="C3" s="58" t="s">
        <v>25</v>
      </c>
      <c r="D3" s="59"/>
    </row>
    <row r="4" spans="1:4" ht="30" customHeight="1" x14ac:dyDescent="0.25">
      <c r="A4" s="56">
        <v>8033</v>
      </c>
      <c r="B4" s="57" t="s">
        <v>130</v>
      </c>
      <c r="C4" s="58" t="s">
        <v>22</v>
      </c>
      <c r="D4" s="59"/>
    </row>
    <row r="5" spans="1:4" ht="30" customHeight="1" x14ac:dyDescent="0.25">
      <c r="A5" s="56">
        <v>8044</v>
      </c>
      <c r="B5" s="57" t="s">
        <v>301</v>
      </c>
      <c r="C5" s="58" t="s">
        <v>24</v>
      </c>
      <c r="D5" s="59" t="s">
        <v>302</v>
      </c>
    </row>
    <row r="6" spans="1:4" ht="30" customHeight="1" x14ac:dyDescent="0.25">
      <c r="A6" s="60">
        <v>8050</v>
      </c>
      <c r="B6" s="61" t="s">
        <v>156</v>
      </c>
      <c r="C6" s="62" t="s">
        <v>20</v>
      </c>
      <c r="D6" s="63" t="s">
        <v>157</v>
      </c>
    </row>
    <row r="7" spans="1:4" ht="30" customHeight="1" x14ac:dyDescent="0.25">
      <c r="A7" s="60">
        <v>8053</v>
      </c>
      <c r="B7" s="61" t="s">
        <v>95</v>
      </c>
      <c r="C7" s="62" t="s">
        <v>19</v>
      </c>
      <c r="D7" s="63" t="s">
        <v>96</v>
      </c>
    </row>
    <row r="8" spans="1:4" ht="30" customHeight="1" x14ac:dyDescent="0.25">
      <c r="A8" s="56">
        <v>8060</v>
      </c>
      <c r="B8" s="57" t="s">
        <v>187</v>
      </c>
      <c r="C8" s="58" t="s">
        <v>19</v>
      </c>
      <c r="D8" s="59"/>
    </row>
    <row r="9" spans="1:4" ht="30" customHeight="1" x14ac:dyDescent="0.25">
      <c r="A9" s="56">
        <v>8062</v>
      </c>
      <c r="B9" s="57" t="s">
        <v>274</v>
      </c>
      <c r="C9" s="58" t="s">
        <v>19</v>
      </c>
      <c r="D9" s="59"/>
    </row>
    <row r="10" spans="1:4" ht="30" customHeight="1" x14ac:dyDescent="0.25">
      <c r="A10" s="56">
        <v>8071</v>
      </c>
      <c r="B10" s="57" t="s">
        <v>139</v>
      </c>
      <c r="C10" s="58" t="s">
        <v>19</v>
      </c>
      <c r="D10" s="59"/>
    </row>
    <row r="11" spans="1:4" ht="30" customHeight="1" x14ac:dyDescent="0.25">
      <c r="A11" s="56">
        <v>8074</v>
      </c>
      <c r="B11" s="57" t="s">
        <v>155</v>
      </c>
      <c r="C11" s="58" t="s">
        <v>19</v>
      </c>
      <c r="D11" s="59"/>
    </row>
    <row r="12" spans="1:4" ht="30" customHeight="1" x14ac:dyDescent="0.25">
      <c r="A12" s="56">
        <v>8094</v>
      </c>
      <c r="B12" s="57" t="s">
        <v>186</v>
      </c>
      <c r="C12" s="58" t="s">
        <v>25</v>
      </c>
      <c r="D12" s="59"/>
    </row>
    <row r="13" spans="1:4" ht="30" customHeight="1" x14ac:dyDescent="0.25">
      <c r="A13" s="56">
        <v>8095</v>
      </c>
      <c r="B13" s="57" t="s">
        <v>292</v>
      </c>
      <c r="C13" s="58" t="s">
        <v>25</v>
      </c>
      <c r="D13" s="59"/>
    </row>
    <row r="14" spans="1:4" ht="30" customHeight="1" x14ac:dyDescent="0.25">
      <c r="A14" s="56">
        <v>8096</v>
      </c>
      <c r="B14" s="57" t="s">
        <v>172</v>
      </c>
      <c r="C14" s="58" t="s">
        <v>25</v>
      </c>
      <c r="D14" s="59"/>
    </row>
    <row r="15" spans="1:4" ht="30" customHeight="1" x14ac:dyDescent="0.25">
      <c r="A15" s="56">
        <v>8097</v>
      </c>
      <c r="B15" s="57" t="s">
        <v>210</v>
      </c>
      <c r="C15" s="58" t="s">
        <v>19</v>
      </c>
      <c r="D15" s="59"/>
    </row>
    <row r="16" spans="1:4" ht="30" customHeight="1" x14ac:dyDescent="0.25">
      <c r="A16" s="56">
        <v>8098</v>
      </c>
      <c r="B16" s="57" t="s">
        <v>204</v>
      </c>
      <c r="C16" s="58" t="s">
        <v>20</v>
      </c>
      <c r="D16" s="59"/>
    </row>
    <row r="17" spans="1:4" ht="30" customHeight="1" x14ac:dyDescent="0.25">
      <c r="A17" s="56">
        <v>8106</v>
      </c>
      <c r="B17" s="57" t="s">
        <v>101</v>
      </c>
      <c r="C17" s="58" t="s">
        <v>21</v>
      </c>
      <c r="D17" s="59"/>
    </row>
    <row r="18" spans="1:4" ht="30" customHeight="1" x14ac:dyDescent="0.25">
      <c r="A18" s="60">
        <v>8108</v>
      </c>
      <c r="B18" s="61" t="s">
        <v>188</v>
      </c>
      <c r="C18" s="62" t="s">
        <v>24</v>
      </c>
      <c r="D18" s="63" t="s">
        <v>189</v>
      </c>
    </row>
    <row r="19" spans="1:4" ht="30" customHeight="1" x14ac:dyDescent="0.25">
      <c r="A19" s="56">
        <v>8118</v>
      </c>
      <c r="B19" s="57" t="s">
        <v>252</v>
      </c>
      <c r="C19" s="58" t="s">
        <v>25</v>
      </c>
      <c r="D19" s="59"/>
    </row>
    <row r="20" spans="1:4" ht="30" customHeight="1" x14ac:dyDescent="0.25">
      <c r="A20" s="60">
        <v>8122</v>
      </c>
      <c r="B20" s="61" t="s">
        <v>267</v>
      </c>
      <c r="C20" s="62" t="s">
        <v>19</v>
      </c>
      <c r="D20" s="63" t="s">
        <v>268</v>
      </c>
    </row>
    <row r="21" spans="1:4" ht="30" customHeight="1" x14ac:dyDescent="0.25">
      <c r="A21" s="56">
        <v>8125</v>
      </c>
      <c r="B21" s="57" t="s">
        <v>306</v>
      </c>
      <c r="C21" s="58" t="s">
        <v>21</v>
      </c>
      <c r="D21" s="59"/>
    </row>
    <row r="22" spans="1:4" ht="30" customHeight="1" x14ac:dyDescent="0.25">
      <c r="A22" s="60">
        <v>8128</v>
      </c>
      <c r="B22" s="61" t="s">
        <v>221</v>
      </c>
      <c r="C22" s="62" t="s">
        <v>24</v>
      </c>
      <c r="D22" s="63" t="s">
        <v>222</v>
      </c>
    </row>
    <row r="23" spans="1:4" ht="30" customHeight="1" x14ac:dyDescent="0.25">
      <c r="A23" s="56">
        <v>8129</v>
      </c>
      <c r="B23" s="57" t="s">
        <v>223</v>
      </c>
      <c r="C23" s="58" t="s">
        <v>19</v>
      </c>
      <c r="D23" s="59"/>
    </row>
    <row r="24" spans="1:4" ht="30" customHeight="1" x14ac:dyDescent="0.25">
      <c r="A24" s="56">
        <v>8130</v>
      </c>
      <c r="B24" s="57" t="s">
        <v>123</v>
      </c>
      <c r="C24" s="58" t="s">
        <v>19</v>
      </c>
      <c r="D24" s="59"/>
    </row>
    <row r="25" spans="1:4" ht="30" customHeight="1" x14ac:dyDescent="0.25">
      <c r="A25" s="56">
        <v>8136</v>
      </c>
      <c r="B25" s="57" t="s">
        <v>143</v>
      </c>
      <c r="C25" s="58" t="s">
        <v>22</v>
      </c>
      <c r="D25" s="59"/>
    </row>
    <row r="26" spans="1:4" ht="30" customHeight="1" x14ac:dyDescent="0.25">
      <c r="A26" s="56">
        <v>8142</v>
      </c>
      <c r="B26" s="57" t="s">
        <v>110</v>
      </c>
      <c r="C26" s="58" t="s">
        <v>25</v>
      </c>
      <c r="D26" s="59"/>
    </row>
    <row r="27" spans="1:4" ht="30" customHeight="1" x14ac:dyDescent="0.25">
      <c r="A27" s="56">
        <v>8166</v>
      </c>
      <c r="B27" s="57" t="s">
        <v>245</v>
      </c>
      <c r="C27" s="58" t="s">
        <v>25</v>
      </c>
      <c r="D27" s="59"/>
    </row>
    <row r="28" spans="1:4" ht="30" customHeight="1" x14ac:dyDescent="0.25">
      <c r="A28" s="56">
        <v>8168</v>
      </c>
      <c r="B28" s="57" t="s">
        <v>108</v>
      </c>
      <c r="C28" s="58" t="s">
        <v>19</v>
      </c>
      <c r="D28" s="59"/>
    </row>
    <row r="29" spans="1:4" ht="30" customHeight="1" x14ac:dyDescent="0.25">
      <c r="A29" s="56">
        <v>8174</v>
      </c>
      <c r="B29" s="57" t="s">
        <v>311</v>
      </c>
      <c r="C29" s="58" t="s">
        <v>21</v>
      </c>
      <c r="D29" s="59"/>
    </row>
    <row r="30" spans="1:4" ht="30" customHeight="1" x14ac:dyDescent="0.25">
      <c r="A30" s="56">
        <v>8180</v>
      </c>
      <c r="B30" s="57" t="s">
        <v>135</v>
      </c>
      <c r="C30" s="58" t="s">
        <v>22</v>
      </c>
      <c r="D30" s="59"/>
    </row>
    <row r="31" spans="1:4" ht="30" customHeight="1" x14ac:dyDescent="0.25">
      <c r="A31" s="60">
        <v>8184</v>
      </c>
      <c r="B31" s="61" t="s">
        <v>91</v>
      </c>
      <c r="C31" s="62" t="s">
        <v>19</v>
      </c>
      <c r="D31" s="63" t="s">
        <v>92</v>
      </c>
    </row>
    <row r="32" spans="1:4" ht="30" customHeight="1" x14ac:dyDescent="0.25">
      <c r="A32" s="56">
        <v>8203</v>
      </c>
      <c r="B32" s="57" t="s">
        <v>203</v>
      </c>
      <c r="C32" s="58" t="s">
        <v>25</v>
      </c>
      <c r="D32" s="59"/>
    </row>
    <row r="33" spans="1:4" ht="30" customHeight="1" x14ac:dyDescent="0.25">
      <c r="A33" s="56">
        <v>8206</v>
      </c>
      <c r="B33" s="57" t="s">
        <v>253</v>
      </c>
      <c r="C33" s="58" t="s">
        <v>21</v>
      </c>
      <c r="D33" s="59"/>
    </row>
    <row r="34" spans="1:4" ht="30" customHeight="1" x14ac:dyDescent="0.25">
      <c r="A34" s="56">
        <v>8207</v>
      </c>
      <c r="B34" s="57" t="s">
        <v>281</v>
      </c>
      <c r="C34" s="58" t="s">
        <v>25</v>
      </c>
      <c r="D34" s="59"/>
    </row>
    <row r="35" spans="1:4" ht="30" customHeight="1" x14ac:dyDescent="0.25">
      <c r="A35" s="56">
        <v>8213</v>
      </c>
      <c r="B35" s="57" t="s">
        <v>137</v>
      </c>
      <c r="C35" s="58" t="s">
        <v>21</v>
      </c>
      <c r="D35" s="59"/>
    </row>
    <row r="36" spans="1:4" ht="30" customHeight="1" x14ac:dyDescent="0.25">
      <c r="A36" s="60">
        <v>8215</v>
      </c>
      <c r="B36" s="61" t="s">
        <v>104</v>
      </c>
      <c r="C36" s="62" t="s">
        <v>19</v>
      </c>
      <c r="D36" s="63" t="s">
        <v>105</v>
      </c>
    </row>
    <row r="37" spans="1:4" ht="30" customHeight="1" x14ac:dyDescent="0.25">
      <c r="A37" s="56">
        <v>8222</v>
      </c>
      <c r="B37" s="57" t="s">
        <v>283</v>
      </c>
      <c r="C37" s="58" t="s">
        <v>23</v>
      </c>
      <c r="D37" s="59" t="s">
        <v>284</v>
      </c>
    </row>
    <row r="38" spans="1:4" ht="30" customHeight="1" x14ac:dyDescent="0.25">
      <c r="A38" s="56">
        <v>8225</v>
      </c>
      <c r="B38" s="57" t="s">
        <v>271</v>
      </c>
      <c r="C38" s="58" t="s">
        <v>19</v>
      </c>
      <c r="D38" s="59"/>
    </row>
    <row r="39" spans="1:4" ht="30" customHeight="1" x14ac:dyDescent="0.25">
      <c r="A39" s="56">
        <v>8244</v>
      </c>
      <c r="B39" s="57" t="s">
        <v>133</v>
      </c>
      <c r="C39" s="58" t="s">
        <v>19</v>
      </c>
      <c r="D39" s="59"/>
    </row>
    <row r="40" spans="1:4" ht="30" customHeight="1" x14ac:dyDescent="0.25">
      <c r="A40" s="56">
        <v>8245</v>
      </c>
      <c r="B40" s="57" t="s">
        <v>248</v>
      </c>
      <c r="C40" s="58" t="s">
        <v>19</v>
      </c>
      <c r="D40" s="59"/>
    </row>
    <row r="41" spans="1:4" ht="30" customHeight="1" x14ac:dyDescent="0.25">
      <c r="A41" s="56">
        <v>8248</v>
      </c>
      <c r="B41" s="57" t="s">
        <v>102</v>
      </c>
      <c r="C41" s="58" t="s">
        <v>25</v>
      </c>
      <c r="D41" s="59"/>
    </row>
    <row r="42" spans="1:4" ht="30" customHeight="1" x14ac:dyDescent="0.25">
      <c r="A42" s="56">
        <v>8250</v>
      </c>
      <c r="B42" s="57" t="s">
        <v>282</v>
      </c>
      <c r="C42" s="58" t="s">
        <v>19</v>
      </c>
      <c r="D42" s="59"/>
    </row>
    <row r="43" spans="1:4" ht="30" customHeight="1" x14ac:dyDescent="0.25">
      <c r="A43" s="56">
        <v>8251</v>
      </c>
      <c r="B43" s="57" t="s">
        <v>291</v>
      </c>
      <c r="C43" s="58" t="s">
        <v>19</v>
      </c>
      <c r="D43" s="59"/>
    </row>
    <row r="44" spans="1:4" ht="30" customHeight="1" x14ac:dyDescent="0.25">
      <c r="A44" s="56">
        <v>8257</v>
      </c>
      <c r="B44" s="57" t="s">
        <v>257</v>
      </c>
      <c r="C44" s="58" t="s">
        <v>25</v>
      </c>
      <c r="D44" s="59"/>
    </row>
    <row r="45" spans="1:4" ht="30" customHeight="1" x14ac:dyDescent="0.25">
      <c r="A45" s="56">
        <v>8263</v>
      </c>
      <c r="B45" s="57" t="s">
        <v>229</v>
      </c>
      <c r="C45" s="58" t="s">
        <v>20</v>
      </c>
      <c r="D45" s="59"/>
    </row>
    <row r="46" spans="1:4" ht="30" customHeight="1" x14ac:dyDescent="0.25">
      <c r="A46" s="56">
        <v>8264</v>
      </c>
      <c r="B46" s="57" t="s">
        <v>286</v>
      </c>
      <c r="C46" s="58" t="s">
        <v>25</v>
      </c>
      <c r="D46" s="59"/>
    </row>
    <row r="47" spans="1:4" ht="30" customHeight="1" x14ac:dyDescent="0.25">
      <c r="A47" s="56">
        <v>8270</v>
      </c>
      <c r="B47" s="57" t="s">
        <v>220</v>
      </c>
      <c r="C47" s="58" t="s">
        <v>22</v>
      </c>
      <c r="D47" s="59"/>
    </row>
    <row r="48" spans="1:4" ht="30" customHeight="1" x14ac:dyDescent="0.25">
      <c r="A48" s="56">
        <v>8274</v>
      </c>
      <c r="B48" s="57" t="s">
        <v>169</v>
      </c>
      <c r="C48" s="58" t="s">
        <v>19</v>
      </c>
      <c r="D48" s="59"/>
    </row>
    <row r="49" spans="1:4" ht="30" customHeight="1" x14ac:dyDescent="0.25">
      <c r="A49" s="56">
        <v>8278</v>
      </c>
      <c r="B49" s="57" t="s">
        <v>113</v>
      </c>
      <c r="C49" s="58" t="s">
        <v>25</v>
      </c>
      <c r="D49" s="59"/>
    </row>
    <row r="50" spans="1:4" ht="30" customHeight="1" x14ac:dyDescent="0.25">
      <c r="A50" s="56">
        <v>8284</v>
      </c>
      <c r="B50" s="57" t="s">
        <v>256</v>
      </c>
      <c r="C50" s="58" t="s">
        <v>25</v>
      </c>
      <c r="D50" s="59"/>
    </row>
    <row r="51" spans="1:4" ht="30" customHeight="1" x14ac:dyDescent="0.25">
      <c r="A51" s="56">
        <v>8287</v>
      </c>
      <c r="B51" s="57" t="s">
        <v>269</v>
      </c>
      <c r="C51" s="58" t="s">
        <v>19</v>
      </c>
      <c r="D51" s="59"/>
    </row>
    <row r="52" spans="1:4" ht="30" customHeight="1" x14ac:dyDescent="0.25">
      <c r="A52" s="56">
        <v>8291</v>
      </c>
      <c r="B52" s="57" t="s">
        <v>126</v>
      </c>
      <c r="C52" s="58" t="s">
        <v>22</v>
      </c>
      <c r="D52" s="59"/>
    </row>
    <row r="53" spans="1:4" ht="30" customHeight="1" x14ac:dyDescent="0.25">
      <c r="A53" s="56">
        <v>8292</v>
      </c>
      <c r="B53" s="57" t="s">
        <v>219</v>
      </c>
      <c r="C53" s="58" t="s">
        <v>22</v>
      </c>
      <c r="D53" s="59"/>
    </row>
    <row r="54" spans="1:4" ht="30" customHeight="1" x14ac:dyDescent="0.25">
      <c r="A54" s="56">
        <v>8299</v>
      </c>
      <c r="B54" s="57" t="s">
        <v>215</v>
      </c>
      <c r="C54" s="58" t="s">
        <v>21</v>
      </c>
      <c r="D54" s="59"/>
    </row>
    <row r="55" spans="1:4" ht="30" customHeight="1" x14ac:dyDescent="0.25">
      <c r="A55" s="60">
        <v>8301</v>
      </c>
      <c r="B55" s="61" t="s">
        <v>241</v>
      </c>
      <c r="C55" s="62" t="s">
        <v>19</v>
      </c>
      <c r="D55" s="63" t="s">
        <v>242</v>
      </c>
    </row>
    <row r="56" spans="1:4" ht="30" customHeight="1" x14ac:dyDescent="0.25">
      <c r="A56" s="56">
        <v>8307</v>
      </c>
      <c r="B56" s="57" t="s">
        <v>132</v>
      </c>
      <c r="C56" s="58" t="s">
        <v>21</v>
      </c>
      <c r="D56" s="59"/>
    </row>
    <row r="57" spans="1:4" ht="30" customHeight="1" x14ac:dyDescent="0.25">
      <c r="A57" s="56">
        <v>8309</v>
      </c>
      <c r="B57" s="57" t="s">
        <v>234</v>
      </c>
      <c r="C57" s="58" t="s">
        <v>24</v>
      </c>
      <c r="D57" s="59"/>
    </row>
    <row r="58" spans="1:4" ht="30" customHeight="1" x14ac:dyDescent="0.25">
      <c r="A58" s="56">
        <v>8310</v>
      </c>
      <c r="B58" s="57" t="s">
        <v>261</v>
      </c>
      <c r="C58" s="58" t="s">
        <v>22</v>
      </c>
      <c r="D58" s="59"/>
    </row>
    <row r="59" spans="1:4" ht="30" customHeight="1" x14ac:dyDescent="0.25">
      <c r="A59" s="56">
        <v>8323</v>
      </c>
      <c r="B59" s="57" t="s">
        <v>171</v>
      </c>
      <c r="C59" s="58" t="s">
        <v>24</v>
      </c>
      <c r="D59" s="59"/>
    </row>
    <row r="60" spans="1:4" ht="30" customHeight="1" x14ac:dyDescent="0.25">
      <c r="A60" s="56">
        <v>8326</v>
      </c>
      <c r="B60" s="57" t="s">
        <v>138</v>
      </c>
      <c r="C60" s="58" t="s">
        <v>19</v>
      </c>
      <c r="D60" s="59"/>
    </row>
    <row r="61" spans="1:4" ht="30" customHeight="1" x14ac:dyDescent="0.25">
      <c r="A61" s="60">
        <v>8333</v>
      </c>
      <c r="B61" s="61" t="s">
        <v>117</v>
      </c>
      <c r="C61" s="62" t="s">
        <v>24</v>
      </c>
      <c r="D61" s="63" t="s">
        <v>118</v>
      </c>
    </row>
    <row r="62" spans="1:4" ht="30" customHeight="1" x14ac:dyDescent="0.25">
      <c r="A62" s="56">
        <v>8335</v>
      </c>
      <c r="B62" s="57" t="s">
        <v>247</v>
      </c>
      <c r="C62" s="58" t="s">
        <v>25</v>
      </c>
      <c r="D62" s="59"/>
    </row>
    <row r="63" spans="1:4" ht="30" customHeight="1" x14ac:dyDescent="0.25">
      <c r="A63" s="56">
        <v>8337</v>
      </c>
      <c r="B63" s="57" t="s">
        <v>134</v>
      </c>
      <c r="C63" s="58" t="s">
        <v>20</v>
      </c>
      <c r="D63" s="59"/>
    </row>
    <row r="64" spans="1:4" ht="30" customHeight="1" x14ac:dyDescent="0.25">
      <c r="A64" s="56">
        <v>8339</v>
      </c>
      <c r="B64" s="57" t="s">
        <v>293</v>
      </c>
      <c r="C64" s="58" t="s">
        <v>24</v>
      </c>
      <c r="D64" s="59" t="s">
        <v>294</v>
      </c>
    </row>
    <row r="65" spans="1:4" ht="30" customHeight="1" x14ac:dyDescent="0.25">
      <c r="A65" s="56">
        <v>8342</v>
      </c>
      <c r="B65" s="57" t="s">
        <v>246</v>
      </c>
      <c r="C65" s="58" t="s">
        <v>25</v>
      </c>
      <c r="D65" s="59"/>
    </row>
    <row r="66" spans="1:4" ht="30" customHeight="1" x14ac:dyDescent="0.25">
      <c r="A66" s="56">
        <v>8345</v>
      </c>
      <c r="B66" s="57" t="s">
        <v>174</v>
      </c>
      <c r="C66" s="58" t="s">
        <v>25</v>
      </c>
      <c r="D66" s="59" t="s">
        <v>175</v>
      </c>
    </row>
    <row r="67" spans="1:4" ht="30" customHeight="1" x14ac:dyDescent="0.25">
      <c r="A67" s="56">
        <v>8356</v>
      </c>
      <c r="B67" s="57" t="s">
        <v>202</v>
      </c>
      <c r="C67" s="58" t="s">
        <v>21</v>
      </c>
      <c r="D67" s="59"/>
    </row>
    <row r="68" spans="1:4" ht="30" customHeight="1" x14ac:dyDescent="0.25">
      <c r="A68" s="60">
        <v>8359</v>
      </c>
      <c r="B68" s="61" t="s">
        <v>216</v>
      </c>
      <c r="C68" s="62" t="s">
        <v>24</v>
      </c>
      <c r="D68" s="63" t="s">
        <v>217</v>
      </c>
    </row>
    <row r="69" spans="1:4" ht="30" customHeight="1" x14ac:dyDescent="0.25">
      <c r="A69" s="56">
        <v>8365</v>
      </c>
      <c r="B69" s="57" t="s">
        <v>190</v>
      </c>
      <c r="C69" s="58" t="s">
        <v>19</v>
      </c>
      <c r="D69" s="59"/>
    </row>
    <row r="70" spans="1:4" ht="30" customHeight="1" x14ac:dyDescent="0.25">
      <c r="A70" s="56">
        <v>8366</v>
      </c>
      <c r="B70" s="57" t="s">
        <v>212</v>
      </c>
      <c r="C70" s="58" t="s">
        <v>22</v>
      </c>
      <c r="D70" s="59"/>
    </row>
    <row r="71" spans="1:4" ht="30" customHeight="1" x14ac:dyDescent="0.25">
      <c r="A71" s="56">
        <v>8369</v>
      </c>
      <c r="B71" s="57" t="s">
        <v>262</v>
      </c>
      <c r="C71" s="58" t="s">
        <v>22</v>
      </c>
      <c r="D71" s="59"/>
    </row>
    <row r="72" spans="1:4" ht="30" customHeight="1" x14ac:dyDescent="0.25">
      <c r="A72" s="56">
        <v>8372</v>
      </c>
      <c r="B72" s="57" t="s">
        <v>109</v>
      </c>
      <c r="C72" s="58" t="s">
        <v>23</v>
      </c>
      <c r="D72" s="59"/>
    </row>
    <row r="73" spans="1:4" ht="30" customHeight="1" x14ac:dyDescent="0.25">
      <c r="A73" s="56">
        <v>8379</v>
      </c>
      <c r="B73" s="57" t="s">
        <v>182</v>
      </c>
      <c r="C73" s="58" t="s">
        <v>22</v>
      </c>
      <c r="D73" s="59" t="s">
        <v>183</v>
      </c>
    </row>
    <row r="74" spans="1:4" ht="30" customHeight="1" x14ac:dyDescent="0.25">
      <c r="A74" s="56">
        <v>8382</v>
      </c>
      <c r="B74" s="57" t="s">
        <v>140</v>
      </c>
      <c r="C74" s="58" t="s">
        <v>20</v>
      </c>
      <c r="D74" s="59"/>
    </row>
    <row r="75" spans="1:4" ht="30" customHeight="1" x14ac:dyDescent="0.25">
      <c r="A75" s="56">
        <v>8383</v>
      </c>
      <c r="B75" s="57" t="s">
        <v>275</v>
      </c>
      <c r="C75" s="58" t="s">
        <v>21</v>
      </c>
      <c r="D75" s="59"/>
    </row>
    <row r="76" spans="1:4" ht="30" customHeight="1" x14ac:dyDescent="0.25">
      <c r="A76" s="56">
        <v>8384</v>
      </c>
      <c r="B76" s="57" t="s">
        <v>224</v>
      </c>
      <c r="C76" s="58" t="s">
        <v>19</v>
      </c>
      <c r="D76" s="59" t="s">
        <v>225</v>
      </c>
    </row>
    <row r="77" spans="1:4" ht="30" customHeight="1" x14ac:dyDescent="0.25">
      <c r="A77" s="56">
        <v>8389</v>
      </c>
      <c r="B77" s="57" t="s">
        <v>290</v>
      </c>
      <c r="C77" s="58" t="s">
        <v>19</v>
      </c>
      <c r="D77" s="59"/>
    </row>
    <row r="78" spans="1:4" ht="30" customHeight="1" x14ac:dyDescent="0.25">
      <c r="A78" s="60">
        <v>8390</v>
      </c>
      <c r="B78" s="61" t="s">
        <v>145</v>
      </c>
      <c r="C78" s="62" t="s">
        <v>22</v>
      </c>
      <c r="D78" s="63" t="s">
        <v>146</v>
      </c>
    </row>
    <row r="79" spans="1:4" ht="30" customHeight="1" x14ac:dyDescent="0.25">
      <c r="A79" s="56">
        <v>8392</v>
      </c>
      <c r="B79" s="57" t="s">
        <v>277</v>
      </c>
      <c r="C79" s="58" t="s">
        <v>24</v>
      </c>
      <c r="D79" s="59" t="s">
        <v>278</v>
      </c>
    </row>
    <row r="80" spans="1:4" ht="30" customHeight="1" x14ac:dyDescent="0.25">
      <c r="A80" s="56">
        <v>8414</v>
      </c>
      <c r="B80" s="57" t="s">
        <v>99</v>
      </c>
      <c r="C80" s="58" t="s">
        <v>20</v>
      </c>
      <c r="D80" s="59"/>
    </row>
    <row r="81" spans="1:4" ht="30" customHeight="1" x14ac:dyDescent="0.25">
      <c r="A81" s="56">
        <v>8418</v>
      </c>
      <c r="B81" s="57" t="s">
        <v>304</v>
      </c>
      <c r="C81" s="58" t="s">
        <v>19</v>
      </c>
      <c r="D81" s="59"/>
    </row>
    <row r="82" spans="1:4" ht="30" customHeight="1" x14ac:dyDescent="0.25">
      <c r="A82" s="56">
        <v>8420</v>
      </c>
      <c r="B82" s="57" t="s">
        <v>160</v>
      </c>
      <c r="C82" s="58" t="s">
        <v>19</v>
      </c>
      <c r="D82" s="59"/>
    </row>
    <row r="83" spans="1:4" ht="30" customHeight="1" x14ac:dyDescent="0.25">
      <c r="A83" s="56">
        <v>8433</v>
      </c>
      <c r="B83" s="57" t="s">
        <v>154</v>
      </c>
      <c r="C83" s="58" t="s">
        <v>19</v>
      </c>
      <c r="D83" s="59"/>
    </row>
    <row r="84" spans="1:4" ht="30" customHeight="1" x14ac:dyDescent="0.25">
      <c r="A84" s="60">
        <v>8437</v>
      </c>
      <c r="B84" s="61" t="s">
        <v>200</v>
      </c>
      <c r="C84" s="62" t="s">
        <v>20</v>
      </c>
      <c r="D84" s="63" t="s">
        <v>201</v>
      </c>
    </row>
    <row r="85" spans="1:4" ht="30" customHeight="1" x14ac:dyDescent="0.25">
      <c r="A85" s="56">
        <v>8441</v>
      </c>
      <c r="B85" s="57" t="s">
        <v>127</v>
      </c>
      <c r="C85" s="58" t="s">
        <v>19</v>
      </c>
      <c r="D85" s="59"/>
    </row>
    <row r="86" spans="1:4" ht="30" customHeight="1" x14ac:dyDescent="0.25">
      <c r="A86" s="56">
        <v>8444</v>
      </c>
      <c r="B86" s="57" t="s">
        <v>165</v>
      </c>
      <c r="C86" s="58" t="s">
        <v>25</v>
      </c>
      <c r="D86" s="59"/>
    </row>
    <row r="87" spans="1:4" ht="30" customHeight="1" x14ac:dyDescent="0.25">
      <c r="A87" s="56">
        <v>8449</v>
      </c>
      <c r="B87" s="57" t="s">
        <v>297</v>
      </c>
      <c r="C87" s="58" t="s">
        <v>23</v>
      </c>
      <c r="D87" s="59" t="s">
        <v>298</v>
      </c>
    </row>
    <row r="88" spans="1:4" ht="30" customHeight="1" x14ac:dyDescent="0.25">
      <c r="A88" s="56">
        <v>8453</v>
      </c>
      <c r="B88" s="57" t="s">
        <v>305</v>
      </c>
      <c r="C88" s="58" t="s">
        <v>20</v>
      </c>
      <c r="D88" s="59"/>
    </row>
    <row r="89" spans="1:4" ht="30" customHeight="1" x14ac:dyDescent="0.25">
      <c r="A89" s="56">
        <v>8455</v>
      </c>
      <c r="B89" s="57" t="s">
        <v>226</v>
      </c>
      <c r="C89" s="58" t="s">
        <v>25</v>
      </c>
      <c r="D89" s="59"/>
    </row>
    <row r="90" spans="1:4" ht="30" customHeight="1" x14ac:dyDescent="0.25">
      <c r="A90" s="56">
        <v>8461</v>
      </c>
      <c r="B90" s="57" t="s">
        <v>103</v>
      </c>
      <c r="C90" s="58" t="s">
        <v>22</v>
      </c>
      <c r="D90" s="59"/>
    </row>
    <row r="91" spans="1:4" ht="30" customHeight="1" x14ac:dyDescent="0.25">
      <c r="A91" s="56">
        <v>8470</v>
      </c>
      <c r="B91" s="57" t="s">
        <v>93</v>
      </c>
      <c r="C91" s="58" t="s">
        <v>23</v>
      </c>
      <c r="D91" s="59" t="s">
        <v>94</v>
      </c>
    </row>
    <row r="92" spans="1:4" ht="30" customHeight="1" x14ac:dyDescent="0.25">
      <c r="A92" s="56">
        <v>8472</v>
      </c>
      <c r="B92" s="57" t="s">
        <v>100</v>
      </c>
      <c r="C92" s="58" t="s">
        <v>25</v>
      </c>
      <c r="D92" s="59"/>
    </row>
    <row r="93" spans="1:4" ht="30" customHeight="1" x14ac:dyDescent="0.25">
      <c r="A93" s="60">
        <v>8473</v>
      </c>
      <c r="B93" s="61" t="s">
        <v>151</v>
      </c>
      <c r="C93" s="62" t="s">
        <v>20</v>
      </c>
      <c r="D93" s="63" t="s">
        <v>152</v>
      </c>
    </row>
    <row r="94" spans="1:4" ht="30" customHeight="1" x14ac:dyDescent="0.25">
      <c r="A94" s="56">
        <v>8475</v>
      </c>
      <c r="B94" s="57" t="s">
        <v>184</v>
      </c>
      <c r="C94" s="58" t="s">
        <v>24</v>
      </c>
      <c r="D94" s="59"/>
    </row>
    <row r="95" spans="1:4" ht="30" customHeight="1" x14ac:dyDescent="0.25">
      <c r="A95" s="56">
        <v>8485</v>
      </c>
      <c r="B95" s="57" t="s">
        <v>177</v>
      </c>
      <c r="C95" s="58" t="s">
        <v>20</v>
      </c>
      <c r="D95" s="59"/>
    </row>
    <row r="96" spans="1:4" ht="30" customHeight="1" x14ac:dyDescent="0.25">
      <c r="A96" s="56">
        <v>8487</v>
      </c>
      <c r="B96" s="57" t="s">
        <v>153</v>
      </c>
      <c r="C96" s="58" t="s">
        <v>19</v>
      </c>
      <c r="D96" s="59"/>
    </row>
    <row r="97" spans="1:4" ht="30" customHeight="1" x14ac:dyDescent="0.25">
      <c r="A97" s="56">
        <v>8491</v>
      </c>
      <c r="B97" s="57" t="s">
        <v>181</v>
      </c>
      <c r="C97" s="58" t="s">
        <v>19</v>
      </c>
      <c r="D97" s="59"/>
    </row>
    <row r="98" spans="1:4" ht="30" customHeight="1" x14ac:dyDescent="0.25">
      <c r="A98" s="56">
        <v>8499</v>
      </c>
      <c r="B98" s="57" t="s">
        <v>192</v>
      </c>
      <c r="C98" s="58" t="s">
        <v>24</v>
      </c>
      <c r="D98" s="59" t="s">
        <v>193</v>
      </c>
    </row>
    <row r="99" spans="1:4" ht="30" customHeight="1" x14ac:dyDescent="0.25">
      <c r="A99" s="56">
        <v>8505</v>
      </c>
      <c r="B99" s="57" t="s">
        <v>295</v>
      </c>
      <c r="C99" s="58" t="s">
        <v>19</v>
      </c>
      <c r="D99" s="59"/>
    </row>
    <row r="100" spans="1:4" ht="30" customHeight="1" x14ac:dyDescent="0.25">
      <c r="A100" s="56">
        <v>8528</v>
      </c>
      <c r="B100" s="57" t="s">
        <v>162</v>
      </c>
      <c r="C100" s="58" t="s">
        <v>19</v>
      </c>
      <c r="D100" s="59"/>
    </row>
    <row r="101" spans="1:4" ht="30" customHeight="1" x14ac:dyDescent="0.25">
      <c r="A101" s="56">
        <v>8537</v>
      </c>
      <c r="B101" s="57" t="s">
        <v>185</v>
      </c>
      <c r="C101" s="58" t="s">
        <v>21</v>
      </c>
      <c r="D101" s="59"/>
    </row>
    <row r="102" spans="1:4" ht="30" customHeight="1" x14ac:dyDescent="0.25">
      <c r="A102" s="56">
        <v>8538</v>
      </c>
      <c r="B102" s="57" t="s">
        <v>131</v>
      </c>
      <c r="C102" s="58" t="s">
        <v>22</v>
      </c>
      <c r="D102" s="59"/>
    </row>
    <row r="103" spans="1:4" ht="30" customHeight="1" x14ac:dyDescent="0.25">
      <c r="A103" s="56">
        <v>8539</v>
      </c>
      <c r="B103" s="57" t="s">
        <v>128</v>
      </c>
      <c r="C103" s="58" t="s">
        <v>25</v>
      </c>
      <c r="D103" s="59"/>
    </row>
    <row r="104" spans="1:4" ht="30" customHeight="1" x14ac:dyDescent="0.25">
      <c r="A104" s="56">
        <v>8549</v>
      </c>
      <c r="B104" s="57" t="s">
        <v>280</v>
      </c>
      <c r="C104" s="58" t="s">
        <v>22</v>
      </c>
      <c r="D104" s="59"/>
    </row>
    <row r="105" spans="1:4" ht="30" customHeight="1" x14ac:dyDescent="0.25">
      <c r="A105" s="56">
        <v>8554</v>
      </c>
      <c r="B105" s="57" t="s">
        <v>124</v>
      </c>
      <c r="C105" s="58" t="s">
        <v>21</v>
      </c>
      <c r="D105" s="59"/>
    </row>
    <row r="106" spans="1:4" ht="30" customHeight="1" x14ac:dyDescent="0.25">
      <c r="A106" s="56">
        <v>8558</v>
      </c>
      <c r="B106" s="57" t="s">
        <v>233</v>
      </c>
      <c r="C106" s="58" t="s">
        <v>19</v>
      </c>
      <c r="D106" s="59"/>
    </row>
    <row r="107" spans="1:4" ht="30" customHeight="1" x14ac:dyDescent="0.25">
      <c r="A107" s="60">
        <v>8563</v>
      </c>
      <c r="B107" s="61" t="s">
        <v>213</v>
      </c>
      <c r="C107" s="62" t="s">
        <v>24</v>
      </c>
      <c r="D107" s="63" t="s">
        <v>214</v>
      </c>
    </row>
    <row r="108" spans="1:4" ht="30" customHeight="1" x14ac:dyDescent="0.25">
      <c r="A108" s="60">
        <v>8571</v>
      </c>
      <c r="B108" s="61" t="s">
        <v>264</v>
      </c>
      <c r="C108" s="62" t="s">
        <v>25</v>
      </c>
      <c r="D108" s="63" t="s">
        <v>265</v>
      </c>
    </row>
    <row r="109" spans="1:4" ht="30" customHeight="1" x14ac:dyDescent="0.25">
      <c r="A109" s="56">
        <v>8573</v>
      </c>
      <c r="B109" s="57" t="s">
        <v>218</v>
      </c>
      <c r="C109" s="58" t="s">
        <v>23</v>
      </c>
      <c r="D109" s="59"/>
    </row>
    <row r="110" spans="1:4" ht="30" customHeight="1" x14ac:dyDescent="0.25">
      <c r="A110" s="56">
        <v>8574</v>
      </c>
      <c r="B110" s="57" t="s">
        <v>197</v>
      </c>
      <c r="C110" s="58" t="s">
        <v>20</v>
      </c>
      <c r="D110" s="59"/>
    </row>
    <row r="111" spans="1:4" ht="30" customHeight="1" x14ac:dyDescent="0.25">
      <c r="A111" s="56">
        <v>8578</v>
      </c>
      <c r="B111" s="57" t="s">
        <v>308</v>
      </c>
      <c r="C111" s="58" t="s">
        <v>25</v>
      </c>
      <c r="D111" s="59"/>
    </row>
    <row r="112" spans="1:4" ht="30" customHeight="1" x14ac:dyDescent="0.25">
      <c r="A112" s="60">
        <v>8585</v>
      </c>
      <c r="B112" s="61" t="s">
        <v>249</v>
      </c>
      <c r="C112" s="62" t="s">
        <v>22</v>
      </c>
      <c r="D112" s="63" t="s">
        <v>250</v>
      </c>
    </row>
    <row r="113" spans="1:4" ht="30" customHeight="1" x14ac:dyDescent="0.25">
      <c r="A113" s="56">
        <v>8586</v>
      </c>
      <c r="B113" s="57" t="s">
        <v>112</v>
      </c>
      <c r="C113" s="58" t="s">
        <v>19</v>
      </c>
      <c r="D113" s="59"/>
    </row>
    <row r="114" spans="1:4" ht="30" customHeight="1" x14ac:dyDescent="0.25">
      <c r="A114" s="56">
        <v>8591</v>
      </c>
      <c r="B114" s="57" t="s">
        <v>144</v>
      </c>
      <c r="C114" s="58" t="s">
        <v>19</v>
      </c>
      <c r="D114" s="59"/>
    </row>
    <row r="115" spans="1:4" ht="30" customHeight="1" x14ac:dyDescent="0.25">
      <c r="A115" s="60">
        <v>8593</v>
      </c>
      <c r="B115" s="61" t="s">
        <v>106</v>
      </c>
      <c r="C115" s="62" t="s">
        <v>19</v>
      </c>
      <c r="D115" s="63" t="s">
        <v>107</v>
      </c>
    </row>
    <row r="116" spans="1:4" ht="30" customHeight="1" x14ac:dyDescent="0.25">
      <c r="A116" s="56">
        <v>8597</v>
      </c>
      <c r="B116" s="57" t="s">
        <v>238</v>
      </c>
      <c r="C116" s="58" t="s">
        <v>25</v>
      </c>
      <c r="D116" s="59"/>
    </row>
    <row r="117" spans="1:4" ht="30" customHeight="1" x14ac:dyDescent="0.25">
      <c r="A117" s="56">
        <v>8601</v>
      </c>
      <c r="B117" s="57" t="s">
        <v>255</v>
      </c>
      <c r="C117" s="58" t="s">
        <v>21</v>
      </c>
      <c r="D117" s="59"/>
    </row>
    <row r="118" spans="1:4" ht="30" customHeight="1" x14ac:dyDescent="0.25">
      <c r="A118" s="56">
        <v>8603</v>
      </c>
      <c r="B118" s="57" t="s">
        <v>163</v>
      </c>
      <c r="C118" s="58" t="s">
        <v>23</v>
      </c>
      <c r="D118" s="59" t="s">
        <v>164</v>
      </c>
    </row>
    <row r="119" spans="1:4" ht="30" customHeight="1" x14ac:dyDescent="0.25">
      <c r="A119" s="56">
        <v>8608</v>
      </c>
      <c r="B119" s="57" t="s">
        <v>299</v>
      </c>
      <c r="C119" s="58" t="s">
        <v>21</v>
      </c>
      <c r="D119" s="59"/>
    </row>
    <row r="120" spans="1:4" ht="30" customHeight="1" x14ac:dyDescent="0.25">
      <c r="A120" s="56">
        <v>8609</v>
      </c>
      <c r="B120" s="57" t="s">
        <v>254</v>
      </c>
      <c r="C120" s="58" t="s">
        <v>20</v>
      </c>
      <c r="D120" s="59"/>
    </row>
    <row r="121" spans="1:4" ht="30" customHeight="1" x14ac:dyDescent="0.25">
      <c r="A121" s="56">
        <v>8612</v>
      </c>
      <c r="B121" s="57" t="s">
        <v>161</v>
      </c>
      <c r="C121" s="58" t="s">
        <v>19</v>
      </c>
      <c r="D121" s="59"/>
    </row>
    <row r="122" spans="1:4" ht="30" customHeight="1" x14ac:dyDescent="0.25">
      <c r="A122" s="56">
        <v>8613</v>
      </c>
      <c r="B122" s="57" t="s">
        <v>199</v>
      </c>
      <c r="C122" s="58" t="s">
        <v>20</v>
      </c>
      <c r="D122" s="59"/>
    </row>
    <row r="123" spans="1:4" ht="30" customHeight="1" x14ac:dyDescent="0.25">
      <c r="A123" s="56">
        <v>8615</v>
      </c>
      <c r="B123" s="57" t="s">
        <v>122</v>
      </c>
      <c r="C123" s="58" t="s">
        <v>25</v>
      </c>
      <c r="D123" s="59"/>
    </row>
    <row r="124" spans="1:4" ht="30" customHeight="1" x14ac:dyDescent="0.25">
      <c r="A124" s="56">
        <v>8632</v>
      </c>
      <c r="B124" s="57" t="s">
        <v>263</v>
      </c>
      <c r="C124" s="58" t="s">
        <v>19</v>
      </c>
      <c r="D124" s="59"/>
    </row>
    <row r="125" spans="1:4" ht="30" customHeight="1" x14ac:dyDescent="0.25">
      <c r="A125" s="56">
        <v>8638</v>
      </c>
      <c r="B125" s="57" t="s">
        <v>310</v>
      </c>
      <c r="C125" s="58" t="s">
        <v>24</v>
      </c>
      <c r="D125" s="59"/>
    </row>
    <row r="126" spans="1:4" ht="30" customHeight="1" x14ac:dyDescent="0.25">
      <c r="A126" s="60">
        <v>8644</v>
      </c>
      <c r="B126" s="61" t="s">
        <v>239</v>
      </c>
      <c r="C126" s="62" t="s">
        <v>24</v>
      </c>
      <c r="D126" s="63" t="s">
        <v>240</v>
      </c>
    </row>
    <row r="127" spans="1:4" ht="30" customHeight="1" x14ac:dyDescent="0.25">
      <c r="A127" s="56">
        <v>8649</v>
      </c>
      <c r="B127" s="57" t="s">
        <v>191</v>
      </c>
      <c r="C127" s="58" t="s">
        <v>25</v>
      </c>
      <c r="D127" s="59"/>
    </row>
    <row r="128" spans="1:4" ht="30" customHeight="1" x14ac:dyDescent="0.25">
      <c r="A128" s="56">
        <v>8661</v>
      </c>
      <c r="B128" s="57" t="s">
        <v>173</v>
      </c>
      <c r="C128" s="58" t="s">
        <v>19</v>
      </c>
      <c r="D128" s="59"/>
    </row>
    <row r="129" spans="1:4" ht="30" customHeight="1" x14ac:dyDescent="0.25">
      <c r="A129" s="60">
        <v>8663</v>
      </c>
      <c r="B129" s="61" t="s">
        <v>166</v>
      </c>
      <c r="C129" s="62" t="s">
        <v>19</v>
      </c>
      <c r="D129" s="63" t="s">
        <v>167</v>
      </c>
    </row>
    <row r="130" spans="1:4" ht="30" customHeight="1" x14ac:dyDescent="0.25">
      <c r="A130" s="56">
        <v>8669</v>
      </c>
      <c r="B130" s="57" t="s">
        <v>276</v>
      </c>
      <c r="C130" s="58" t="s">
        <v>19</v>
      </c>
      <c r="D130" s="59"/>
    </row>
    <row r="131" spans="1:4" ht="30" customHeight="1" x14ac:dyDescent="0.25">
      <c r="A131" s="56">
        <v>8671</v>
      </c>
      <c r="B131" s="57" t="s">
        <v>142</v>
      </c>
      <c r="C131" s="58" t="s">
        <v>19</v>
      </c>
      <c r="D131" s="59"/>
    </row>
    <row r="132" spans="1:4" ht="30" customHeight="1" x14ac:dyDescent="0.25">
      <c r="A132" s="56">
        <v>8679</v>
      </c>
      <c r="B132" s="57" t="s">
        <v>209</v>
      </c>
      <c r="C132" s="58" t="s">
        <v>21</v>
      </c>
      <c r="D132" s="59"/>
    </row>
    <row r="133" spans="1:4" ht="30" customHeight="1" x14ac:dyDescent="0.25">
      <c r="A133" s="60">
        <v>8680</v>
      </c>
      <c r="B133" s="61" t="s">
        <v>207</v>
      </c>
      <c r="C133" s="62" t="s">
        <v>23</v>
      </c>
      <c r="D133" s="63" t="s">
        <v>208</v>
      </c>
    </row>
    <row r="134" spans="1:4" ht="30" customHeight="1" x14ac:dyDescent="0.25">
      <c r="A134" s="56">
        <v>8683</v>
      </c>
      <c r="B134" s="57" t="s">
        <v>285</v>
      </c>
      <c r="C134" s="58" t="s">
        <v>21</v>
      </c>
      <c r="D134" s="59"/>
    </row>
    <row r="135" spans="1:4" ht="30" customHeight="1" x14ac:dyDescent="0.25">
      <c r="A135" s="56">
        <v>8688</v>
      </c>
      <c r="B135" s="57" t="s">
        <v>170</v>
      </c>
      <c r="C135" s="58" t="s">
        <v>25</v>
      </c>
      <c r="D135" s="59"/>
    </row>
    <row r="136" spans="1:4" ht="30" customHeight="1" x14ac:dyDescent="0.25">
      <c r="A136" s="56">
        <v>8722</v>
      </c>
      <c r="B136" s="57" t="s">
        <v>237</v>
      </c>
      <c r="C136" s="58" t="s">
        <v>22</v>
      </c>
      <c r="D136" s="59"/>
    </row>
    <row r="137" spans="1:4" ht="30" customHeight="1" x14ac:dyDescent="0.25">
      <c r="A137" s="56">
        <v>8728</v>
      </c>
      <c r="B137" s="57" t="s">
        <v>232</v>
      </c>
      <c r="C137" s="58" t="s">
        <v>20</v>
      </c>
      <c r="D137" s="59"/>
    </row>
    <row r="138" spans="1:4" ht="30" customHeight="1" x14ac:dyDescent="0.25">
      <c r="A138" s="56">
        <v>8732</v>
      </c>
      <c r="B138" s="57" t="s">
        <v>194</v>
      </c>
      <c r="C138" s="58" t="s">
        <v>19</v>
      </c>
      <c r="D138" s="59"/>
    </row>
    <row r="139" spans="1:4" ht="30" customHeight="1" x14ac:dyDescent="0.25">
      <c r="A139" s="60">
        <v>8733</v>
      </c>
      <c r="B139" s="61" t="s">
        <v>158</v>
      </c>
      <c r="C139" s="62" t="s">
        <v>24</v>
      </c>
      <c r="D139" s="63" t="s">
        <v>159</v>
      </c>
    </row>
    <row r="140" spans="1:4" ht="30" customHeight="1" x14ac:dyDescent="0.25">
      <c r="A140" s="56">
        <v>8734</v>
      </c>
      <c r="B140" s="57" t="s">
        <v>114</v>
      </c>
      <c r="C140" s="58" t="s">
        <v>22</v>
      </c>
      <c r="D140" s="59" t="s">
        <v>115</v>
      </c>
    </row>
    <row r="141" spans="1:4" ht="30" customHeight="1" x14ac:dyDescent="0.25">
      <c r="A141" s="56">
        <v>8735</v>
      </c>
      <c r="B141" s="57" t="s">
        <v>228</v>
      </c>
      <c r="C141" s="58" t="s">
        <v>21</v>
      </c>
      <c r="D141" s="59"/>
    </row>
    <row r="142" spans="1:4" ht="30" customHeight="1" x14ac:dyDescent="0.25">
      <c r="A142" s="60">
        <v>8745</v>
      </c>
      <c r="B142" s="61" t="s">
        <v>179</v>
      </c>
      <c r="C142" s="62" t="s">
        <v>24</v>
      </c>
      <c r="D142" s="63" t="s">
        <v>180</v>
      </c>
    </row>
    <row r="143" spans="1:4" ht="30" customHeight="1" x14ac:dyDescent="0.25">
      <c r="A143" s="56">
        <v>8748</v>
      </c>
      <c r="B143" s="57" t="s">
        <v>176</v>
      </c>
      <c r="C143" s="58" t="s">
        <v>21</v>
      </c>
      <c r="D143" s="59"/>
    </row>
    <row r="144" spans="1:4" ht="30" customHeight="1" x14ac:dyDescent="0.25">
      <c r="A144" s="56">
        <v>8750</v>
      </c>
      <c r="B144" s="57" t="s">
        <v>141</v>
      </c>
      <c r="C144" s="58" t="s">
        <v>19</v>
      </c>
      <c r="D144" s="59"/>
    </row>
    <row r="145" spans="1:4" ht="30" customHeight="1" x14ac:dyDescent="0.25">
      <c r="A145" s="56">
        <v>8752</v>
      </c>
      <c r="B145" s="57" t="s">
        <v>235</v>
      </c>
      <c r="C145" s="58" t="s">
        <v>24</v>
      </c>
      <c r="D145" s="59" t="s">
        <v>236</v>
      </c>
    </row>
    <row r="146" spans="1:4" ht="30" customHeight="1" x14ac:dyDescent="0.25">
      <c r="A146" s="56">
        <v>8755</v>
      </c>
      <c r="B146" s="57" t="s">
        <v>258</v>
      </c>
      <c r="C146" s="58" t="s">
        <v>21</v>
      </c>
      <c r="D146" s="59" t="s">
        <v>259</v>
      </c>
    </row>
    <row r="147" spans="1:4" ht="30" customHeight="1" x14ac:dyDescent="0.25">
      <c r="A147" s="56">
        <v>8771</v>
      </c>
      <c r="B147" s="57" t="s">
        <v>230</v>
      </c>
      <c r="C147" s="58" t="s">
        <v>25</v>
      </c>
      <c r="D147" s="59"/>
    </row>
    <row r="148" spans="1:4" ht="30" customHeight="1" x14ac:dyDescent="0.25">
      <c r="A148" s="56">
        <v>8773</v>
      </c>
      <c r="B148" s="57" t="s">
        <v>116</v>
      </c>
      <c r="C148" s="58" t="s">
        <v>19</v>
      </c>
      <c r="D148" s="59"/>
    </row>
    <row r="149" spans="1:4" ht="30" customHeight="1" x14ac:dyDescent="0.25">
      <c r="A149" s="56">
        <v>8774</v>
      </c>
      <c r="B149" s="57" t="s">
        <v>195</v>
      </c>
      <c r="C149" s="58" t="s">
        <v>21</v>
      </c>
      <c r="D149" s="59"/>
    </row>
    <row r="150" spans="1:4" ht="30" customHeight="1" x14ac:dyDescent="0.25">
      <c r="A150" s="56">
        <v>8776</v>
      </c>
      <c r="B150" s="57" t="s">
        <v>111</v>
      </c>
      <c r="C150" s="58" t="s">
        <v>25</v>
      </c>
      <c r="D150" s="59"/>
    </row>
    <row r="151" spans="1:4" ht="30" customHeight="1" x14ac:dyDescent="0.25">
      <c r="A151" s="56">
        <v>8789</v>
      </c>
      <c r="B151" s="57" t="s">
        <v>97</v>
      </c>
      <c r="C151" s="58" t="s">
        <v>19</v>
      </c>
      <c r="D151" s="59"/>
    </row>
    <row r="152" spans="1:4" ht="30" customHeight="1" x14ac:dyDescent="0.25">
      <c r="A152" s="56">
        <v>8801</v>
      </c>
      <c r="B152" s="57" t="s">
        <v>136</v>
      </c>
      <c r="C152" s="58" t="s">
        <v>23</v>
      </c>
      <c r="D152" s="59"/>
    </row>
    <row r="153" spans="1:4" ht="30" customHeight="1" x14ac:dyDescent="0.25">
      <c r="A153" s="56">
        <v>8815</v>
      </c>
      <c r="B153" s="57" t="s">
        <v>129</v>
      </c>
      <c r="C153" s="58" t="s">
        <v>19</v>
      </c>
      <c r="D153" s="59"/>
    </row>
    <row r="154" spans="1:4" ht="30" customHeight="1" x14ac:dyDescent="0.25">
      <c r="A154" s="56">
        <v>8821</v>
      </c>
      <c r="B154" s="57" t="s">
        <v>119</v>
      </c>
      <c r="C154" s="58" t="s">
        <v>25</v>
      </c>
      <c r="D154" s="59"/>
    </row>
    <row r="155" spans="1:4" ht="30" customHeight="1" x14ac:dyDescent="0.25">
      <c r="A155" s="56">
        <v>8827</v>
      </c>
      <c r="B155" s="57" t="s">
        <v>205</v>
      </c>
      <c r="C155" s="58" t="s">
        <v>23</v>
      </c>
      <c r="D155" s="59" t="s">
        <v>206</v>
      </c>
    </row>
    <row r="156" spans="1:4" ht="30" customHeight="1" x14ac:dyDescent="0.25">
      <c r="A156" s="56">
        <v>8831</v>
      </c>
      <c r="B156" s="57" t="s">
        <v>148</v>
      </c>
      <c r="C156" s="58" t="s">
        <v>21</v>
      </c>
      <c r="D156" s="59"/>
    </row>
    <row r="157" spans="1:4" ht="30" customHeight="1" x14ac:dyDescent="0.25">
      <c r="A157" s="60">
        <v>8850</v>
      </c>
      <c r="B157" s="61" t="s">
        <v>149</v>
      </c>
      <c r="C157" s="62" t="s">
        <v>19</v>
      </c>
      <c r="D157" s="63" t="s">
        <v>150</v>
      </c>
    </row>
    <row r="158" spans="1:4" ht="30" customHeight="1" x14ac:dyDescent="0.25">
      <c r="A158" s="56">
        <v>8856</v>
      </c>
      <c r="B158" s="57" t="s">
        <v>260</v>
      </c>
      <c r="C158" s="58" t="s">
        <v>25</v>
      </c>
      <c r="D158" s="59"/>
    </row>
    <row r="159" spans="1:4" ht="30" customHeight="1" x14ac:dyDescent="0.25">
      <c r="A159" s="56">
        <v>8872</v>
      </c>
      <c r="B159" s="57" t="s">
        <v>198</v>
      </c>
      <c r="C159" s="58" t="s">
        <v>21</v>
      </c>
      <c r="D159" s="59"/>
    </row>
    <row r="160" spans="1:4" ht="30" customHeight="1" x14ac:dyDescent="0.25">
      <c r="A160" s="56">
        <v>8877</v>
      </c>
      <c r="B160" s="57" t="s">
        <v>231</v>
      </c>
      <c r="C160" s="58" t="s">
        <v>19</v>
      </c>
      <c r="D160" s="59"/>
    </row>
    <row r="161" spans="1:4" ht="30" customHeight="1" x14ac:dyDescent="0.25">
      <c r="A161" s="56">
        <v>8878</v>
      </c>
      <c r="B161" s="57" t="s">
        <v>211</v>
      </c>
      <c r="C161" s="58" t="s">
        <v>25</v>
      </c>
      <c r="D161" s="59"/>
    </row>
    <row r="162" spans="1:4" ht="30" customHeight="1" x14ac:dyDescent="0.25">
      <c r="A162" s="60">
        <v>8905</v>
      </c>
      <c r="B162" s="61" t="s">
        <v>272</v>
      </c>
      <c r="C162" s="62" t="s">
        <v>19</v>
      </c>
      <c r="D162" s="63" t="s">
        <v>273</v>
      </c>
    </row>
    <row r="163" spans="1:4" ht="30" customHeight="1" x14ac:dyDescent="0.25">
      <c r="A163" s="56">
        <v>8908</v>
      </c>
      <c r="B163" s="57" t="s">
        <v>303</v>
      </c>
      <c r="C163" s="58" t="s">
        <v>21</v>
      </c>
      <c r="D163" s="59"/>
    </row>
    <row r="164" spans="1:4" ht="30" customHeight="1" x14ac:dyDescent="0.25">
      <c r="A164" s="60">
        <v>8910</v>
      </c>
      <c r="B164" s="61" t="s">
        <v>243</v>
      </c>
      <c r="C164" s="62" t="s">
        <v>24</v>
      </c>
      <c r="D164" s="63" t="s">
        <v>244</v>
      </c>
    </row>
    <row r="165" spans="1:4" ht="30" customHeight="1" x14ac:dyDescent="0.25">
      <c r="A165" s="56">
        <v>8913</v>
      </c>
      <c r="B165" s="57" t="s">
        <v>147</v>
      </c>
      <c r="C165" s="58" t="s">
        <v>19</v>
      </c>
      <c r="D165" s="59"/>
    </row>
    <row r="166" spans="1:4" ht="30" customHeight="1" x14ac:dyDescent="0.25">
      <c r="A166" s="56">
        <v>8921</v>
      </c>
      <c r="B166" s="57" t="s">
        <v>279</v>
      </c>
      <c r="C166" s="58" t="s">
        <v>22</v>
      </c>
      <c r="D166" s="59"/>
    </row>
    <row r="167" spans="1:4" ht="30" customHeight="1" x14ac:dyDescent="0.25">
      <c r="A167" s="56">
        <v>8954</v>
      </c>
      <c r="B167" s="57" t="s">
        <v>288</v>
      </c>
      <c r="C167" s="58" t="s">
        <v>23</v>
      </c>
      <c r="D167" s="59"/>
    </row>
    <row r="168" spans="1:4" ht="30" customHeight="1" x14ac:dyDescent="0.25">
      <c r="A168" s="56">
        <v>8959</v>
      </c>
      <c r="B168" s="57" t="s">
        <v>251</v>
      </c>
      <c r="C168" s="58" t="s">
        <v>24</v>
      </c>
      <c r="D168" s="59"/>
    </row>
    <row r="169" spans="1:4" ht="30" customHeight="1" x14ac:dyDescent="0.25">
      <c r="A169" s="56">
        <v>8968</v>
      </c>
      <c r="B169" s="57" t="s">
        <v>196</v>
      </c>
      <c r="C169" s="58" t="s">
        <v>23</v>
      </c>
      <c r="D169" s="59"/>
    </row>
    <row r="170" spans="1:4" ht="30" customHeight="1" x14ac:dyDescent="0.25">
      <c r="A170" s="56">
        <v>8974</v>
      </c>
      <c r="B170" s="57" t="s">
        <v>309</v>
      </c>
      <c r="C170" s="58" t="s">
        <v>21</v>
      </c>
      <c r="D170" s="59"/>
    </row>
    <row r="171" spans="1:4" ht="30" customHeight="1" x14ac:dyDescent="0.25">
      <c r="A171" s="56">
        <v>8976</v>
      </c>
      <c r="B171" s="57" t="s">
        <v>287</v>
      </c>
      <c r="C171" s="58" t="s">
        <v>19</v>
      </c>
      <c r="D171" s="59"/>
    </row>
    <row r="172" spans="1:4" ht="30" customHeight="1" x14ac:dyDescent="0.25">
      <c r="A172" s="56">
        <v>8982</v>
      </c>
      <c r="B172" s="57" t="s">
        <v>307</v>
      </c>
      <c r="C172" s="58" t="s">
        <v>23</v>
      </c>
      <c r="D172" s="59"/>
    </row>
    <row r="173" spans="1:4" ht="30" customHeight="1" x14ac:dyDescent="0.25">
      <c r="A173" s="56">
        <v>8983</v>
      </c>
      <c r="B173" s="57" t="s">
        <v>289</v>
      </c>
      <c r="C173" s="58" t="s">
        <v>21</v>
      </c>
      <c r="D173" s="59"/>
    </row>
    <row r="174" spans="1:4" ht="30" customHeight="1" x14ac:dyDescent="0.25">
      <c r="A174" s="56">
        <v>8988</v>
      </c>
      <c r="B174" s="57" t="s">
        <v>98</v>
      </c>
      <c r="C174" s="58" t="s">
        <v>19</v>
      </c>
      <c r="D174" s="59"/>
    </row>
    <row r="175" spans="1:4" ht="30" customHeight="1" x14ac:dyDescent="0.25">
      <c r="A175" s="56">
        <v>8989</v>
      </c>
      <c r="B175" s="57" t="s">
        <v>227</v>
      </c>
      <c r="C175" s="58" t="s">
        <v>22</v>
      </c>
      <c r="D175" s="59"/>
    </row>
    <row r="176" spans="1:4" ht="30" customHeight="1" x14ac:dyDescent="0.25">
      <c r="A176" s="56">
        <v>8990</v>
      </c>
      <c r="B176" s="57" t="s">
        <v>270</v>
      </c>
      <c r="C176" s="58" t="s">
        <v>19</v>
      </c>
      <c r="D176" s="59"/>
    </row>
    <row r="177" spans="1:4" ht="30" customHeight="1" x14ac:dyDescent="0.25">
      <c r="A177" s="56">
        <v>8991</v>
      </c>
      <c r="B177" s="57" t="s">
        <v>168</v>
      </c>
      <c r="C177" s="58" t="s">
        <v>21</v>
      </c>
      <c r="D177" s="59"/>
    </row>
    <row r="178" spans="1:4" ht="30" customHeight="1" x14ac:dyDescent="0.25">
      <c r="A178" s="56">
        <v>8993</v>
      </c>
      <c r="B178" s="57" t="s">
        <v>300</v>
      </c>
      <c r="C178" s="58" t="s">
        <v>21</v>
      </c>
      <c r="D178" s="59"/>
    </row>
    <row r="179" spans="1:4" ht="30" customHeight="1" x14ac:dyDescent="0.25">
      <c r="A179" s="56">
        <v>8995</v>
      </c>
      <c r="B179" s="57" t="s">
        <v>120</v>
      </c>
      <c r="C179" s="58" t="s">
        <v>24</v>
      </c>
      <c r="D179" s="59" t="s">
        <v>121</v>
      </c>
    </row>
    <row r="180" spans="1:4" ht="30" customHeight="1" x14ac:dyDescent="0.25">
      <c r="A180" s="56">
        <v>8997</v>
      </c>
      <c r="B180" s="57" t="s">
        <v>178</v>
      </c>
      <c r="C180" s="58" t="s">
        <v>25</v>
      </c>
      <c r="D180" s="59"/>
    </row>
    <row r="181" spans="1:4" ht="30" customHeight="1" x14ac:dyDescent="0.25">
      <c r="A181" s="56">
        <v>8999</v>
      </c>
      <c r="B181" s="57" t="s">
        <v>296</v>
      </c>
      <c r="C181" s="58" t="s">
        <v>24</v>
      </c>
      <c r="D181" s="59"/>
    </row>
    <row r="182" spans="1:4" ht="15.75" customHeight="1" x14ac:dyDescent="0.25"/>
    <row r="183" spans="1:4" ht="15.75" customHeight="1" x14ac:dyDescent="0.25"/>
    <row r="184" spans="1:4" ht="15.75" customHeight="1" x14ac:dyDescent="0.25"/>
    <row r="185" spans="1:4" ht="15.75" customHeight="1" x14ac:dyDescent="0.25"/>
    <row r="186" spans="1:4" ht="15.75" customHeight="1" x14ac:dyDescent="0.25"/>
    <row r="187" spans="1:4" ht="15.75" customHeight="1" x14ac:dyDescent="0.25"/>
    <row r="188" spans="1:4" ht="15.75" customHeight="1" x14ac:dyDescent="0.25"/>
    <row r="189" spans="1:4" ht="15.75" customHeight="1" x14ac:dyDescent="0.25"/>
    <row r="190" spans="1:4" ht="15.75" customHeight="1" x14ac:dyDescent="0.25"/>
    <row r="191" spans="1:4" ht="15.75" customHeight="1" x14ac:dyDescent="0.25"/>
    <row r="192" spans="1:4"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autoFilter ref="A1:D1" xr:uid="{00000000-0001-0000-0400-000000000000}">
    <sortState xmlns:xlrd2="http://schemas.microsoft.com/office/spreadsheetml/2017/richdata2" ref="A2:D181">
      <sortCondition ref="A1"/>
    </sortState>
  </autoFilter>
  <dataValidations count="1">
    <dataValidation type="list" allowBlank="1" sqref="C2:C181" xr:uid="{00000000-0002-0000-0400-000000000000}">
      <formula1>"Credit reporting,Debt collection,Mortgage,Credit card,Bank account or service,Consumer loan,Money transfer or service"</formula1>
      <formula2>0</formula2>
    </dataValidation>
  </dataValidations>
  <pageMargins left="0.75" right="0.75" top="1" bottom="1"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000"/>
  <sheetViews>
    <sheetView showGridLines="0" zoomScaleNormal="100" workbookViewId="0">
      <pane ySplit="1" topLeftCell="A66" activePane="bottomLeft" state="frozen"/>
      <selection pane="bottomLeft" activeCell="A2" sqref="A2"/>
    </sheetView>
  </sheetViews>
  <sheetFormatPr defaultColWidth="14.42578125" defaultRowHeight="15" x14ac:dyDescent="0.25"/>
  <cols>
    <col min="1" max="1" width="10" customWidth="1"/>
    <col min="2" max="2" width="90" customWidth="1"/>
    <col min="3" max="3" width="26" customWidth="1"/>
    <col min="4" max="4" width="49.42578125" customWidth="1"/>
    <col min="5" max="25" width="8.7109375" customWidth="1"/>
  </cols>
  <sheetData>
    <row r="1" spans="1:4" ht="15" customHeight="1" x14ac:dyDescent="0.25">
      <c r="A1" s="6" t="s">
        <v>1</v>
      </c>
      <c r="B1" s="6" t="s">
        <v>89</v>
      </c>
      <c r="C1" s="6" t="s">
        <v>90</v>
      </c>
      <c r="D1" s="22" t="s">
        <v>312</v>
      </c>
    </row>
    <row r="2" spans="1:4" ht="30" customHeight="1" x14ac:dyDescent="0.25">
      <c r="A2" s="56">
        <v>8022</v>
      </c>
      <c r="B2" s="57" t="s">
        <v>125</v>
      </c>
      <c r="C2" s="56" t="s">
        <v>19</v>
      </c>
      <c r="D2" s="59" t="s">
        <v>322</v>
      </c>
    </row>
    <row r="3" spans="1:4" ht="30" customHeight="1" x14ac:dyDescent="0.25">
      <c r="A3" s="56">
        <v>8024</v>
      </c>
      <c r="B3" s="57" t="s">
        <v>266</v>
      </c>
      <c r="C3" s="56" t="s">
        <v>25</v>
      </c>
      <c r="D3" s="64"/>
    </row>
    <row r="4" spans="1:4" ht="30" customHeight="1" x14ac:dyDescent="0.25">
      <c r="A4" s="56">
        <v>8033</v>
      </c>
      <c r="B4" s="57" t="s">
        <v>130</v>
      </c>
      <c r="C4" s="56" t="s">
        <v>22</v>
      </c>
      <c r="D4" s="64"/>
    </row>
    <row r="5" spans="1:4" ht="30" customHeight="1" x14ac:dyDescent="0.25">
      <c r="A5" s="56">
        <v>8044</v>
      </c>
      <c r="B5" s="57" t="s">
        <v>301</v>
      </c>
      <c r="C5" s="56" t="s">
        <v>24</v>
      </c>
      <c r="D5" s="64"/>
    </row>
    <row r="6" spans="1:4" ht="30" customHeight="1" x14ac:dyDescent="0.25">
      <c r="A6" s="60">
        <v>8050</v>
      </c>
      <c r="B6" s="61" t="s">
        <v>156</v>
      </c>
      <c r="C6" s="60" t="s">
        <v>20</v>
      </c>
      <c r="D6" s="64" t="s">
        <v>333</v>
      </c>
    </row>
    <row r="7" spans="1:4" ht="30" customHeight="1" x14ac:dyDescent="0.25">
      <c r="A7" s="60">
        <v>8053</v>
      </c>
      <c r="B7" s="61" t="s">
        <v>95</v>
      </c>
      <c r="C7" s="56" t="s">
        <v>19</v>
      </c>
      <c r="D7" s="65"/>
    </row>
    <row r="8" spans="1:4" ht="30" customHeight="1" x14ac:dyDescent="0.25">
      <c r="A8" s="56">
        <v>8060</v>
      </c>
      <c r="B8" s="57" t="s">
        <v>187</v>
      </c>
      <c r="C8" s="56" t="s">
        <v>19</v>
      </c>
      <c r="D8" s="64"/>
    </row>
    <row r="9" spans="1:4" ht="30" customHeight="1" x14ac:dyDescent="0.25">
      <c r="A9" s="56">
        <v>8062</v>
      </c>
      <c r="B9" s="57" t="s">
        <v>274</v>
      </c>
      <c r="C9" s="56" t="s">
        <v>19</v>
      </c>
      <c r="D9" s="59" t="s">
        <v>370</v>
      </c>
    </row>
    <row r="10" spans="1:4" ht="30" customHeight="1" x14ac:dyDescent="0.25">
      <c r="A10" s="56">
        <v>8071</v>
      </c>
      <c r="B10" s="57" t="s">
        <v>139</v>
      </c>
      <c r="C10" s="56" t="s">
        <v>19</v>
      </c>
      <c r="D10" s="59" t="s">
        <v>326</v>
      </c>
    </row>
    <row r="11" spans="1:4" ht="30" customHeight="1" x14ac:dyDescent="0.25">
      <c r="A11" s="56">
        <v>8074</v>
      </c>
      <c r="B11" s="57" t="s">
        <v>155</v>
      </c>
      <c r="C11" s="56" t="s">
        <v>19</v>
      </c>
      <c r="D11" s="59" t="s">
        <v>332</v>
      </c>
    </row>
    <row r="12" spans="1:4" ht="30" customHeight="1" x14ac:dyDescent="0.25">
      <c r="A12" s="56">
        <v>8094</v>
      </c>
      <c r="B12" s="57" t="s">
        <v>186</v>
      </c>
      <c r="C12" s="56" t="s">
        <v>25</v>
      </c>
      <c r="D12" s="59" t="s">
        <v>344</v>
      </c>
    </row>
    <row r="13" spans="1:4" ht="30" customHeight="1" x14ac:dyDescent="0.25">
      <c r="A13" s="56">
        <v>8095</v>
      </c>
      <c r="B13" s="57" t="s">
        <v>292</v>
      </c>
      <c r="C13" s="56" t="s">
        <v>23</v>
      </c>
      <c r="D13" s="64"/>
    </row>
    <row r="14" spans="1:4" ht="30" customHeight="1" x14ac:dyDescent="0.25">
      <c r="A14" s="56">
        <v>8096</v>
      </c>
      <c r="B14" s="57" t="s">
        <v>172</v>
      </c>
      <c r="C14" s="56" t="s">
        <v>23</v>
      </c>
      <c r="D14" s="59" t="s">
        <v>339</v>
      </c>
    </row>
    <row r="15" spans="1:4" ht="30" customHeight="1" x14ac:dyDescent="0.25">
      <c r="A15" s="56">
        <v>8097</v>
      </c>
      <c r="B15" s="57" t="s">
        <v>210</v>
      </c>
      <c r="C15" s="56" t="s">
        <v>19</v>
      </c>
      <c r="D15" s="59" t="s">
        <v>353</v>
      </c>
    </row>
    <row r="16" spans="1:4" ht="30" customHeight="1" x14ac:dyDescent="0.25">
      <c r="A16" s="56">
        <v>8098</v>
      </c>
      <c r="B16" s="57" t="s">
        <v>204</v>
      </c>
      <c r="C16" s="56" t="s">
        <v>20</v>
      </c>
      <c r="D16" s="64"/>
    </row>
    <row r="17" spans="1:4" ht="30" customHeight="1" x14ac:dyDescent="0.25">
      <c r="A17" s="56">
        <v>8106</v>
      </c>
      <c r="B17" s="57" t="s">
        <v>101</v>
      </c>
      <c r="C17" s="56" t="s">
        <v>21</v>
      </c>
      <c r="D17" s="64"/>
    </row>
    <row r="18" spans="1:4" ht="30" customHeight="1" x14ac:dyDescent="0.25">
      <c r="A18" s="60">
        <v>8108</v>
      </c>
      <c r="B18" s="61" t="s">
        <v>188</v>
      </c>
      <c r="C18" s="60" t="s">
        <v>22</v>
      </c>
      <c r="D18" s="59" t="s">
        <v>345</v>
      </c>
    </row>
    <row r="19" spans="1:4" ht="30" customHeight="1" x14ac:dyDescent="0.25">
      <c r="A19" s="56">
        <v>8118</v>
      </c>
      <c r="B19" s="57" t="s">
        <v>252</v>
      </c>
      <c r="C19" s="56" t="s">
        <v>25</v>
      </c>
      <c r="D19" s="64"/>
    </row>
    <row r="20" spans="1:4" ht="30" customHeight="1" x14ac:dyDescent="0.25">
      <c r="A20" s="60">
        <v>8122</v>
      </c>
      <c r="B20" s="61" t="s">
        <v>267</v>
      </c>
      <c r="C20" s="60" t="s">
        <v>19</v>
      </c>
      <c r="D20" s="59" t="s">
        <v>368</v>
      </c>
    </row>
    <row r="21" spans="1:4" ht="30" customHeight="1" x14ac:dyDescent="0.25">
      <c r="A21" s="56">
        <v>8125</v>
      </c>
      <c r="B21" s="57" t="s">
        <v>306</v>
      </c>
      <c r="C21" s="56" t="s">
        <v>21</v>
      </c>
      <c r="D21" s="64"/>
    </row>
    <row r="22" spans="1:4" ht="30" customHeight="1" x14ac:dyDescent="0.25">
      <c r="A22" s="60">
        <v>8128</v>
      </c>
      <c r="B22" s="61" t="s">
        <v>221</v>
      </c>
      <c r="C22" s="60" t="s">
        <v>24</v>
      </c>
      <c r="D22" s="65" t="s">
        <v>357</v>
      </c>
    </row>
    <row r="23" spans="1:4" ht="30" customHeight="1" x14ac:dyDescent="0.25">
      <c r="A23" s="56">
        <v>8129</v>
      </c>
      <c r="B23" s="57" t="s">
        <v>223</v>
      </c>
      <c r="C23" s="56" t="s">
        <v>19</v>
      </c>
      <c r="D23" s="64"/>
    </row>
    <row r="24" spans="1:4" ht="30" customHeight="1" x14ac:dyDescent="0.25">
      <c r="A24" s="56">
        <v>8130</v>
      </c>
      <c r="B24" s="57" t="s">
        <v>123</v>
      </c>
      <c r="C24" s="56" t="s">
        <v>19</v>
      </c>
      <c r="D24" s="64"/>
    </row>
    <row r="25" spans="1:4" ht="30" customHeight="1" x14ac:dyDescent="0.25">
      <c r="A25" s="56">
        <v>8136</v>
      </c>
      <c r="B25" s="57" t="s">
        <v>143</v>
      </c>
      <c r="C25" s="56" t="s">
        <v>22</v>
      </c>
      <c r="D25" s="64"/>
    </row>
    <row r="26" spans="1:4" ht="30" customHeight="1" x14ac:dyDescent="0.25">
      <c r="A26" s="56">
        <v>8142</v>
      </c>
      <c r="B26" s="57" t="s">
        <v>110</v>
      </c>
      <c r="C26" s="56" t="s">
        <v>25</v>
      </c>
      <c r="D26" s="64"/>
    </row>
    <row r="27" spans="1:4" ht="30" customHeight="1" x14ac:dyDescent="0.25">
      <c r="A27" s="56">
        <v>8166</v>
      </c>
      <c r="B27" s="57" t="s">
        <v>245</v>
      </c>
      <c r="C27" s="56" t="s">
        <v>25</v>
      </c>
      <c r="D27" s="64"/>
    </row>
    <row r="28" spans="1:4" ht="30" customHeight="1" x14ac:dyDescent="0.25">
      <c r="A28" s="56">
        <v>8168</v>
      </c>
      <c r="B28" s="57" t="s">
        <v>108</v>
      </c>
      <c r="C28" s="56" t="s">
        <v>19</v>
      </c>
      <c r="D28" s="64"/>
    </row>
    <row r="29" spans="1:4" ht="30" customHeight="1" x14ac:dyDescent="0.25">
      <c r="A29" s="56">
        <v>8174</v>
      </c>
      <c r="B29" s="57" t="s">
        <v>311</v>
      </c>
      <c r="C29" s="56" t="s">
        <v>21</v>
      </c>
      <c r="D29" s="64"/>
    </row>
    <row r="30" spans="1:4" ht="30" customHeight="1" x14ac:dyDescent="0.25">
      <c r="A30" s="56">
        <v>8180</v>
      </c>
      <c r="B30" s="57" t="s">
        <v>135</v>
      </c>
      <c r="C30" s="56" t="s">
        <v>22</v>
      </c>
      <c r="D30" s="64"/>
    </row>
    <row r="31" spans="1:4" ht="30" customHeight="1" x14ac:dyDescent="0.25">
      <c r="A31" s="60">
        <v>8184</v>
      </c>
      <c r="B31" s="61" t="s">
        <v>91</v>
      </c>
      <c r="C31" s="56" t="s">
        <v>19</v>
      </c>
      <c r="D31" s="65"/>
    </row>
    <row r="32" spans="1:4" ht="30" customHeight="1" x14ac:dyDescent="0.25">
      <c r="A32" s="56">
        <v>8203</v>
      </c>
      <c r="B32" s="57" t="s">
        <v>203</v>
      </c>
      <c r="C32" s="56" t="s">
        <v>25</v>
      </c>
      <c r="D32" s="59" t="s">
        <v>350</v>
      </c>
    </row>
    <row r="33" spans="1:4" ht="30" customHeight="1" x14ac:dyDescent="0.25">
      <c r="A33" s="56">
        <v>8206</v>
      </c>
      <c r="B33" s="57" t="s">
        <v>253</v>
      </c>
      <c r="C33" s="56" t="s">
        <v>21</v>
      </c>
      <c r="D33" s="64"/>
    </row>
    <row r="34" spans="1:4" ht="30" customHeight="1" x14ac:dyDescent="0.25">
      <c r="A34" s="56">
        <v>8207</v>
      </c>
      <c r="B34" s="57" t="s">
        <v>281</v>
      </c>
      <c r="C34" s="56" t="s">
        <v>25</v>
      </c>
      <c r="D34" s="59" t="s">
        <v>372</v>
      </c>
    </row>
    <row r="35" spans="1:4" ht="30" customHeight="1" x14ac:dyDescent="0.25">
      <c r="A35" s="56">
        <v>8213</v>
      </c>
      <c r="B35" s="57" t="s">
        <v>137</v>
      </c>
      <c r="C35" s="56" t="s">
        <v>21</v>
      </c>
      <c r="D35" s="64"/>
    </row>
    <row r="36" spans="1:4" ht="30" customHeight="1" x14ac:dyDescent="0.25">
      <c r="A36" s="60">
        <v>8215</v>
      </c>
      <c r="B36" s="61" t="s">
        <v>104</v>
      </c>
      <c r="C36" s="56" t="s">
        <v>19</v>
      </c>
      <c r="D36" s="65"/>
    </row>
    <row r="37" spans="1:4" ht="30" customHeight="1" x14ac:dyDescent="0.25">
      <c r="A37" s="56">
        <v>8222</v>
      </c>
      <c r="B37" s="57" t="s">
        <v>283</v>
      </c>
      <c r="C37" s="56" t="s">
        <v>23</v>
      </c>
      <c r="D37" s="59" t="s">
        <v>373</v>
      </c>
    </row>
    <row r="38" spans="1:4" ht="30" customHeight="1" x14ac:dyDescent="0.25">
      <c r="A38" s="56">
        <v>8225</v>
      </c>
      <c r="B38" s="57" t="s">
        <v>271</v>
      </c>
      <c r="C38" s="56" t="s">
        <v>19</v>
      </c>
      <c r="D38" s="64"/>
    </row>
    <row r="39" spans="1:4" ht="30" customHeight="1" x14ac:dyDescent="0.25">
      <c r="A39" s="56">
        <v>8244</v>
      </c>
      <c r="B39" s="57" t="s">
        <v>133</v>
      </c>
      <c r="C39" s="56" t="s">
        <v>19</v>
      </c>
      <c r="D39" s="64"/>
    </row>
    <row r="40" spans="1:4" ht="30" customHeight="1" x14ac:dyDescent="0.25">
      <c r="A40" s="56">
        <v>8245</v>
      </c>
      <c r="B40" s="57" t="s">
        <v>248</v>
      </c>
      <c r="C40" s="56" t="s">
        <v>19</v>
      </c>
      <c r="D40" s="64"/>
    </row>
    <row r="41" spans="1:4" ht="30" customHeight="1" x14ac:dyDescent="0.25">
      <c r="A41" s="56">
        <v>8248</v>
      </c>
      <c r="B41" s="57" t="s">
        <v>102</v>
      </c>
      <c r="C41" s="56" t="s">
        <v>25</v>
      </c>
      <c r="D41" s="64"/>
    </row>
    <row r="42" spans="1:4" ht="30" customHeight="1" x14ac:dyDescent="0.25">
      <c r="A42" s="56">
        <v>8250</v>
      </c>
      <c r="B42" s="57" t="s">
        <v>282</v>
      </c>
      <c r="C42" s="56" t="s">
        <v>19</v>
      </c>
      <c r="D42" s="64"/>
    </row>
    <row r="43" spans="1:4" ht="30" customHeight="1" x14ac:dyDescent="0.25">
      <c r="A43" s="56">
        <v>8251</v>
      </c>
      <c r="B43" s="57" t="s">
        <v>291</v>
      </c>
      <c r="C43" s="56" t="s">
        <v>19</v>
      </c>
      <c r="D43" s="64"/>
    </row>
    <row r="44" spans="1:4" ht="30" customHeight="1" x14ac:dyDescent="0.25">
      <c r="A44" s="56">
        <v>8257</v>
      </c>
      <c r="B44" s="57" t="s">
        <v>257</v>
      </c>
      <c r="C44" s="56" t="s">
        <v>25</v>
      </c>
      <c r="D44" s="59" t="s">
        <v>366</v>
      </c>
    </row>
    <row r="45" spans="1:4" ht="30" customHeight="1" x14ac:dyDescent="0.25">
      <c r="A45" s="56">
        <v>8263</v>
      </c>
      <c r="B45" s="57" t="s">
        <v>229</v>
      </c>
      <c r="C45" s="56" t="s">
        <v>20</v>
      </c>
      <c r="D45" s="64"/>
    </row>
    <row r="46" spans="1:4" ht="30" customHeight="1" x14ac:dyDescent="0.25">
      <c r="A46" s="56">
        <v>8264</v>
      </c>
      <c r="B46" s="57" t="s">
        <v>286</v>
      </c>
      <c r="C46" s="56" t="s">
        <v>23</v>
      </c>
      <c r="D46" s="64"/>
    </row>
    <row r="47" spans="1:4" ht="30" customHeight="1" x14ac:dyDescent="0.25">
      <c r="A47" s="56">
        <v>8270</v>
      </c>
      <c r="B47" s="57" t="s">
        <v>220</v>
      </c>
      <c r="C47" s="56" t="s">
        <v>22</v>
      </c>
      <c r="D47" s="64"/>
    </row>
    <row r="48" spans="1:4" ht="30" customHeight="1" x14ac:dyDescent="0.25">
      <c r="A48" s="56">
        <v>8274</v>
      </c>
      <c r="B48" s="57" t="s">
        <v>169</v>
      </c>
      <c r="C48" s="56" t="s">
        <v>19</v>
      </c>
      <c r="D48" s="64"/>
    </row>
    <row r="49" spans="1:4" ht="30" customHeight="1" x14ac:dyDescent="0.25">
      <c r="A49" s="56">
        <v>8278</v>
      </c>
      <c r="B49" s="57" t="s">
        <v>113</v>
      </c>
      <c r="C49" s="56" t="s">
        <v>25</v>
      </c>
      <c r="D49" s="64"/>
    </row>
    <row r="50" spans="1:4" ht="30" customHeight="1" x14ac:dyDescent="0.25">
      <c r="A50" s="56">
        <v>8284</v>
      </c>
      <c r="B50" s="57" t="s">
        <v>256</v>
      </c>
      <c r="C50" s="56" t="s">
        <v>23</v>
      </c>
      <c r="D50" s="59" t="s">
        <v>341</v>
      </c>
    </row>
    <row r="51" spans="1:4" ht="30" customHeight="1" x14ac:dyDescent="0.25">
      <c r="A51" s="56">
        <v>8287</v>
      </c>
      <c r="B51" s="57" t="s">
        <v>269</v>
      </c>
      <c r="C51" s="56" t="s">
        <v>19</v>
      </c>
      <c r="D51" s="64"/>
    </row>
    <row r="52" spans="1:4" ht="30" customHeight="1" x14ac:dyDescent="0.25">
      <c r="A52" s="56">
        <v>8291</v>
      </c>
      <c r="B52" s="57" t="s">
        <v>126</v>
      </c>
      <c r="C52" s="56" t="s">
        <v>22</v>
      </c>
      <c r="D52" s="64"/>
    </row>
    <row r="53" spans="1:4" ht="30" customHeight="1" x14ac:dyDescent="0.25">
      <c r="A53" s="56">
        <v>8292</v>
      </c>
      <c r="B53" s="57" t="s">
        <v>219</v>
      </c>
      <c r="C53" s="56" t="s">
        <v>22</v>
      </c>
      <c r="D53" s="64"/>
    </row>
    <row r="54" spans="1:4" ht="30" customHeight="1" x14ac:dyDescent="0.25">
      <c r="A54" s="56">
        <v>8299</v>
      </c>
      <c r="B54" s="57" t="s">
        <v>215</v>
      </c>
      <c r="C54" s="56" t="s">
        <v>21</v>
      </c>
      <c r="D54" s="64" t="s">
        <v>355</v>
      </c>
    </row>
    <row r="55" spans="1:4" ht="30" customHeight="1" x14ac:dyDescent="0.25">
      <c r="A55" s="60">
        <v>8301</v>
      </c>
      <c r="B55" s="61" t="s">
        <v>241</v>
      </c>
      <c r="C55" s="60" t="s">
        <v>19</v>
      </c>
      <c r="D55" s="59" t="s">
        <v>361</v>
      </c>
    </row>
    <row r="56" spans="1:4" ht="30" customHeight="1" x14ac:dyDescent="0.25">
      <c r="A56" s="56">
        <v>8307</v>
      </c>
      <c r="B56" s="57" t="s">
        <v>132</v>
      </c>
      <c r="C56" s="56" t="s">
        <v>21</v>
      </c>
      <c r="D56" s="64"/>
    </row>
    <row r="57" spans="1:4" ht="30" customHeight="1" x14ac:dyDescent="0.25">
      <c r="A57" s="56">
        <v>8309</v>
      </c>
      <c r="B57" s="57" t="s">
        <v>234</v>
      </c>
      <c r="C57" s="56" t="s">
        <v>24</v>
      </c>
      <c r="D57" s="64"/>
    </row>
    <row r="58" spans="1:4" ht="30" customHeight="1" x14ac:dyDescent="0.25">
      <c r="A58" s="56">
        <v>8310</v>
      </c>
      <c r="B58" s="57" t="s">
        <v>261</v>
      </c>
      <c r="C58" s="56" t="s">
        <v>22</v>
      </c>
      <c r="D58" s="64"/>
    </row>
    <row r="59" spans="1:4" ht="30" customHeight="1" x14ac:dyDescent="0.25">
      <c r="A59" s="56">
        <v>8323</v>
      </c>
      <c r="B59" s="57" t="s">
        <v>171</v>
      </c>
      <c r="C59" s="56" t="s">
        <v>22</v>
      </c>
      <c r="D59" s="59" t="s">
        <v>338</v>
      </c>
    </row>
    <row r="60" spans="1:4" ht="30" customHeight="1" x14ac:dyDescent="0.25">
      <c r="A60" s="56">
        <v>8326</v>
      </c>
      <c r="B60" s="57" t="s">
        <v>138</v>
      </c>
      <c r="C60" s="56" t="s">
        <v>19</v>
      </c>
      <c r="D60" s="59" t="s">
        <v>325</v>
      </c>
    </row>
    <row r="61" spans="1:4" ht="30" customHeight="1" x14ac:dyDescent="0.25">
      <c r="A61" s="60">
        <v>8333</v>
      </c>
      <c r="B61" s="61" t="s">
        <v>117</v>
      </c>
      <c r="C61" s="60" t="s">
        <v>21</v>
      </c>
      <c r="D61" s="65" t="s">
        <v>320</v>
      </c>
    </row>
    <row r="62" spans="1:4" ht="30" customHeight="1" x14ac:dyDescent="0.25">
      <c r="A62" s="56">
        <v>8335</v>
      </c>
      <c r="B62" s="57" t="s">
        <v>247</v>
      </c>
      <c r="C62" s="56" t="s">
        <v>23</v>
      </c>
      <c r="D62" s="59" t="s">
        <v>364</v>
      </c>
    </row>
    <row r="63" spans="1:4" ht="30" customHeight="1" x14ac:dyDescent="0.25">
      <c r="A63" s="56">
        <v>8337</v>
      </c>
      <c r="B63" s="57" t="s">
        <v>134</v>
      </c>
      <c r="C63" s="56" t="s">
        <v>20</v>
      </c>
      <c r="D63" s="59" t="s">
        <v>324</v>
      </c>
    </row>
    <row r="64" spans="1:4" ht="30" customHeight="1" x14ac:dyDescent="0.25">
      <c r="A64" s="56">
        <v>8339</v>
      </c>
      <c r="B64" s="57" t="s">
        <v>293</v>
      </c>
      <c r="C64" s="56" t="s">
        <v>19</v>
      </c>
      <c r="D64" s="64"/>
    </row>
    <row r="65" spans="1:4" ht="30" customHeight="1" x14ac:dyDescent="0.25">
      <c r="A65" s="56">
        <v>8342</v>
      </c>
      <c r="B65" s="57" t="s">
        <v>246</v>
      </c>
      <c r="C65" s="56" t="s">
        <v>23</v>
      </c>
      <c r="D65" s="59" t="s">
        <v>363</v>
      </c>
    </row>
    <row r="66" spans="1:4" ht="30" customHeight="1" x14ac:dyDescent="0.25">
      <c r="A66" s="56">
        <v>8345</v>
      </c>
      <c r="B66" s="57" t="s">
        <v>174</v>
      </c>
      <c r="C66" s="56" t="s">
        <v>23</v>
      </c>
      <c r="D66" s="59" t="s">
        <v>341</v>
      </c>
    </row>
    <row r="67" spans="1:4" ht="30" customHeight="1" x14ac:dyDescent="0.25">
      <c r="A67" s="56">
        <v>8356</v>
      </c>
      <c r="B67" s="57" t="s">
        <v>202</v>
      </c>
      <c r="C67" s="56" t="s">
        <v>21</v>
      </c>
      <c r="D67" s="64"/>
    </row>
    <row r="68" spans="1:4" ht="30" customHeight="1" x14ac:dyDescent="0.25">
      <c r="A68" s="60">
        <v>8359</v>
      </c>
      <c r="B68" s="61" t="s">
        <v>216</v>
      </c>
      <c r="C68" s="60" t="s">
        <v>24</v>
      </c>
      <c r="D68" s="64" t="s">
        <v>356</v>
      </c>
    </row>
    <row r="69" spans="1:4" ht="30" customHeight="1" x14ac:dyDescent="0.25">
      <c r="A69" s="56">
        <v>8365</v>
      </c>
      <c r="B69" s="57" t="s">
        <v>190</v>
      </c>
      <c r="C69" s="56" t="s">
        <v>19</v>
      </c>
      <c r="D69" s="59" t="s">
        <v>346</v>
      </c>
    </row>
    <row r="70" spans="1:4" ht="30" customHeight="1" x14ac:dyDescent="0.25">
      <c r="A70" s="56">
        <v>8366</v>
      </c>
      <c r="B70" s="57" t="s">
        <v>212</v>
      </c>
      <c r="C70" s="56" t="s">
        <v>22</v>
      </c>
      <c r="D70" s="64"/>
    </row>
    <row r="71" spans="1:4" ht="30" customHeight="1" x14ac:dyDescent="0.25">
      <c r="A71" s="56">
        <v>8369</v>
      </c>
      <c r="B71" s="57" t="s">
        <v>262</v>
      </c>
      <c r="C71" s="56" t="s">
        <v>22</v>
      </c>
      <c r="D71" s="64"/>
    </row>
    <row r="72" spans="1:4" ht="30" customHeight="1" x14ac:dyDescent="0.25">
      <c r="A72" s="56">
        <v>8372</v>
      </c>
      <c r="B72" s="57" t="s">
        <v>109</v>
      </c>
      <c r="C72" s="56" t="s">
        <v>23</v>
      </c>
      <c r="D72" s="59" t="s">
        <v>318</v>
      </c>
    </row>
    <row r="73" spans="1:4" ht="30" customHeight="1" x14ac:dyDescent="0.25">
      <c r="A73" s="56">
        <v>8379</v>
      </c>
      <c r="B73" s="57" t="s">
        <v>182</v>
      </c>
      <c r="C73" s="56" t="s">
        <v>22</v>
      </c>
      <c r="D73" s="64"/>
    </row>
    <row r="74" spans="1:4" ht="30" customHeight="1" x14ac:dyDescent="0.25">
      <c r="A74" s="56">
        <v>8382</v>
      </c>
      <c r="B74" s="57" t="s">
        <v>140</v>
      </c>
      <c r="C74" s="56" t="s">
        <v>20</v>
      </c>
      <c r="D74" s="64"/>
    </row>
    <row r="75" spans="1:4" ht="30" customHeight="1" x14ac:dyDescent="0.25">
      <c r="A75" s="56">
        <v>8383</v>
      </c>
      <c r="B75" s="57" t="s">
        <v>275</v>
      </c>
      <c r="C75" s="56" t="s">
        <v>21</v>
      </c>
      <c r="D75" s="64"/>
    </row>
    <row r="76" spans="1:4" ht="30" customHeight="1" x14ac:dyDescent="0.25">
      <c r="A76" s="56">
        <v>8384</v>
      </c>
      <c r="B76" s="57" t="s">
        <v>224</v>
      </c>
      <c r="C76" s="56" t="s">
        <v>19</v>
      </c>
      <c r="D76" s="64"/>
    </row>
    <row r="77" spans="1:4" ht="30" customHeight="1" x14ac:dyDescent="0.25">
      <c r="A77" s="56">
        <v>8389</v>
      </c>
      <c r="B77" s="57" t="s">
        <v>290</v>
      </c>
      <c r="C77" s="56" t="s">
        <v>19</v>
      </c>
      <c r="D77" s="64"/>
    </row>
    <row r="78" spans="1:4" ht="30" customHeight="1" x14ac:dyDescent="0.25">
      <c r="A78" s="60">
        <v>8390</v>
      </c>
      <c r="B78" s="61" t="s">
        <v>145</v>
      </c>
      <c r="C78" s="60" t="s">
        <v>22</v>
      </c>
      <c r="D78" s="65" t="s">
        <v>328</v>
      </c>
    </row>
    <row r="79" spans="1:4" ht="30" customHeight="1" x14ac:dyDescent="0.25">
      <c r="A79" s="56">
        <v>8392</v>
      </c>
      <c r="B79" s="57" t="s">
        <v>277</v>
      </c>
      <c r="C79" s="56" t="s">
        <v>25</v>
      </c>
      <c r="D79" s="59" t="s">
        <v>371</v>
      </c>
    </row>
    <row r="80" spans="1:4" ht="30" customHeight="1" x14ac:dyDescent="0.25">
      <c r="A80" s="56">
        <v>8414</v>
      </c>
      <c r="B80" s="57" t="s">
        <v>99</v>
      </c>
      <c r="C80" s="56" t="s">
        <v>20</v>
      </c>
      <c r="D80" s="59" t="s">
        <v>316</v>
      </c>
    </row>
    <row r="81" spans="1:4" ht="30" customHeight="1" x14ac:dyDescent="0.25">
      <c r="A81" s="56">
        <v>8418</v>
      </c>
      <c r="B81" s="57" t="s">
        <v>304</v>
      </c>
      <c r="C81" s="56" t="s">
        <v>19</v>
      </c>
      <c r="D81" s="59" t="s">
        <v>376</v>
      </c>
    </row>
    <row r="82" spans="1:4" ht="30" customHeight="1" x14ac:dyDescent="0.25">
      <c r="A82" s="56">
        <v>8420</v>
      </c>
      <c r="B82" s="57" t="s">
        <v>160</v>
      </c>
      <c r="C82" s="56" t="s">
        <v>19</v>
      </c>
      <c r="D82" s="64"/>
    </row>
    <row r="83" spans="1:4" ht="30" customHeight="1" x14ac:dyDescent="0.25">
      <c r="A83" s="56">
        <v>8433</v>
      </c>
      <c r="B83" s="57" t="s">
        <v>154</v>
      </c>
      <c r="C83" s="56" t="s">
        <v>19</v>
      </c>
      <c r="D83" s="64"/>
    </row>
    <row r="84" spans="1:4" ht="30" customHeight="1" x14ac:dyDescent="0.25">
      <c r="A84" s="60">
        <v>8437</v>
      </c>
      <c r="B84" s="61" t="s">
        <v>200</v>
      </c>
      <c r="C84" s="60" t="s">
        <v>20</v>
      </c>
      <c r="D84" s="64" t="s">
        <v>349</v>
      </c>
    </row>
    <row r="85" spans="1:4" ht="30" customHeight="1" x14ac:dyDescent="0.25">
      <c r="A85" s="56">
        <v>8441</v>
      </c>
      <c r="B85" s="57" t="s">
        <v>127</v>
      </c>
      <c r="C85" s="56" t="s">
        <v>19</v>
      </c>
      <c r="D85" s="64"/>
    </row>
    <row r="86" spans="1:4" ht="30" customHeight="1" x14ac:dyDescent="0.25">
      <c r="A86" s="56">
        <v>8444</v>
      </c>
      <c r="B86" s="57" t="s">
        <v>165</v>
      </c>
      <c r="C86" s="56" t="s">
        <v>23</v>
      </c>
      <c r="D86" s="59" t="s">
        <v>335</v>
      </c>
    </row>
    <row r="87" spans="1:4" ht="30" customHeight="1" x14ac:dyDescent="0.25">
      <c r="A87" s="56">
        <v>8449</v>
      </c>
      <c r="B87" s="57" t="s">
        <v>297</v>
      </c>
      <c r="C87" s="56" t="s">
        <v>23</v>
      </c>
      <c r="D87" s="59" t="s">
        <v>375</v>
      </c>
    </row>
    <row r="88" spans="1:4" ht="30" customHeight="1" x14ac:dyDescent="0.25">
      <c r="A88" s="56">
        <v>8453</v>
      </c>
      <c r="B88" s="57" t="s">
        <v>305</v>
      </c>
      <c r="C88" s="56" t="s">
        <v>20</v>
      </c>
      <c r="D88" s="64"/>
    </row>
    <row r="89" spans="1:4" ht="30" customHeight="1" x14ac:dyDescent="0.25">
      <c r="A89" s="56">
        <v>8455</v>
      </c>
      <c r="B89" s="57" t="s">
        <v>226</v>
      </c>
      <c r="C89" s="56" t="s">
        <v>23</v>
      </c>
      <c r="D89" s="64" t="s">
        <v>358</v>
      </c>
    </row>
    <row r="90" spans="1:4" ht="30" customHeight="1" x14ac:dyDescent="0.25">
      <c r="A90" s="56">
        <v>8461</v>
      </c>
      <c r="B90" s="57" t="s">
        <v>103</v>
      </c>
      <c r="C90" s="56" t="s">
        <v>22</v>
      </c>
      <c r="D90" s="64"/>
    </row>
    <row r="91" spans="1:4" ht="30" customHeight="1" x14ac:dyDescent="0.25">
      <c r="A91" s="56">
        <v>8470</v>
      </c>
      <c r="B91" s="57" t="s">
        <v>93</v>
      </c>
      <c r="C91" s="56" t="s">
        <v>23</v>
      </c>
      <c r="D91" s="59" t="s">
        <v>313</v>
      </c>
    </row>
    <row r="92" spans="1:4" ht="30" customHeight="1" x14ac:dyDescent="0.25">
      <c r="A92" s="56">
        <v>8472</v>
      </c>
      <c r="B92" s="57" t="s">
        <v>100</v>
      </c>
      <c r="C92" s="56" t="s">
        <v>23</v>
      </c>
      <c r="D92" s="59" t="s">
        <v>317</v>
      </c>
    </row>
    <row r="93" spans="1:4" ht="30" customHeight="1" x14ac:dyDescent="0.25">
      <c r="A93" s="60">
        <v>8473</v>
      </c>
      <c r="B93" s="61" t="s">
        <v>151</v>
      </c>
      <c r="C93" s="60" t="s">
        <v>20</v>
      </c>
      <c r="D93" s="64" t="s">
        <v>330</v>
      </c>
    </row>
    <row r="94" spans="1:4" ht="30" customHeight="1" x14ac:dyDescent="0.25">
      <c r="A94" s="56">
        <v>8475</v>
      </c>
      <c r="B94" s="57" t="s">
        <v>184</v>
      </c>
      <c r="C94" s="56" t="s">
        <v>24</v>
      </c>
      <c r="D94" s="64"/>
    </row>
    <row r="95" spans="1:4" ht="30" customHeight="1" x14ac:dyDescent="0.25">
      <c r="A95" s="56">
        <v>8485</v>
      </c>
      <c r="B95" s="57" t="s">
        <v>177</v>
      </c>
      <c r="C95" s="56" t="s">
        <v>20</v>
      </c>
      <c r="D95" s="64"/>
    </row>
    <row r="96" spans="1:4" ht="30" customHeight="1" x14ac:dyDescent="0.25">
      <c r="A96" s="56">
        <v>8487</v>
      </c>
      <c r="B96" s="57" t="s">
        <v>153</v>
      </c>
      <c r="C96" s="56" t="s">
        <v>19</v>
      </c>
      <c r="D96" s="59" t="s">
        <v>331</v>
      </c>
    </row>
    <row r="97" spans="1:4" ht="30" customHeight="1" x14ac:dyDescent="0.25">
      <c r="A97" s="56">
        <v>8491</v>
      </c>
      <c r="B97" s="57" t="s">
        <v>181</v>
      </c>
      <c r="C97" s="56" t="s">
        <v>19</v>
      </c>
      <c r="D97" s="59"/>
    </row>
    <row r="98" spans="1:4" ht="30" customHeight="1" x14ac:dyDescent="0.25">
      <c r="A98" s="56">
        <v>8499</v>
      </c>
      <c r="B98" s="57" t="s">
        <v>192</v>
      </c>
      <c r="C98" s="56" t="s">
        <v>24</v>
      </c>
      <c r="D98" s="59" t="s">
        <v>347</v>
      </c>
    </row>
    <row r="99" spans="1:4" ht="30" customHeight="1" x14ac:dyDescent="0.25">
      <c r="A99" s="56">
        <v>8505</v>
      </c>
      <c r="B99" s="57" t="s">
        <v>295</v>
      </c>
      <c r="C99" s="56" t="s">
        <v>20</v>
      </c>
      <c r="D99" s="64"/>
    </row>
    <row r="100" spans="1:4" ht="30" customHeight="1" x14ac:dyDescent="0.25">
      <c r="A100" s="56">
        <v>8528</v>
      </c>
      <c r="B100" s="57" t="s">
        <v>162</v>
      </c>
      <c r="C100" s="56" t="s">
        <v>19</v>
      </c>
      <c r="D100" s="64"/>
    </row>
    <row r="101" spans="1:4" ht="30" customHeight="1" x14ac:dyDescent="0.25">
      <c r="A101" s="56">
        <v>8537</v>
      </c>
      <c r="B101" s="57" t="s">
        <v>185</v>
      </c>
      <c r="C101" s="56" t="s">
        <v>21</v>
      </c>
      <c r="D101" s="64"/>
    </row>
    <row r="102" spans="1:4" ht="30" customHeight="1" x14ac:dyDescent="0.25">
      <c r="A102" s="56">
        <v>8538</v>
      </c>
      <c r="B102" s="57" t="s">
        <v>131</v>
      </c>
      <c r="C102" s="56" t="s">
        <v>22</v>
      </c>
      <c r="D102" s="64"/>
    </row>
    <row r="103" spans="1:4" ht="30" customHeight="1" x14ac:dyDescent="0.25">
      <c r="A103" s="56">
        <v>8539</v>
      </c>
      <c r="B103" s="57" t="s">
        <v>128</v>
      </c>
      <c r="C103" s="56" t="s">
        <v>23</v>
      </c>
      <c r="D103" s="59" t="s">
        <v>323</v>
      </c>
    </row>
    <row r="104" spans="1:4" ht="30" customHeight="1" x14ac:dyDescent="0.25">
      <c r="A104" s="56">
        <v>8549</v>
      </c>
      <c r="B104" s="57" t="s">
        <v>280</v>
      </c>
      <c r="C104" s="56" t="s">
        <v>22</v>
      </c>
      <c r="D104" s="64"/>
    </row>
    <row r="105" spans="1:4" ht="30" customHeight="1" x14ac:dyDescent="0.25">
      <c r="A105" s="56">
        <v>8554</v>
      </c>
      <c r="B105" s="57" t="s">
        <v>124</v>
      </c>
      <c r="C105" s="56" t="s">
        <v>21</v>
      </c>
      <c r="D105" s="64"/>
    </row>
    <row r="106" spans="1:4" ht="30" customHeight="1" x14ac:dyDescent="0.25">
      <c r="A106" s="56">
        <v>8558</v>
      </c>
      <c r="B106" s="57" t="s">
        <v>233</v>
      </c>
      <c r="C106" s="56" t="s">
        <v>19</v>
      </c>
      <c r="D106" s="64"/>
    </row>
    <row r="107" spans="1:4" ht="30" customHeight="1" x14ac:dyDescent="0.25">
      <c r="A107" s="60">
        <v>8563</v>
      </c>
      <c r="B107" s="61" t="s">
        <v>213</v>
      </c>
      <c r="C107" s="60" t="s">
        <v>24</v>
      </c>
      <c r="D107" s="64" t="s">
        <v>354</v>
      </c>
    </row>
    <row r="108" spans="1:4" ht="30" customHeight="1" x14ac:dyDescent="0.25">
      <c r="A108" s="60">
        <v>8571</v>
      </c>
      <c r="B108" s="61" t="s">
        <v>264</v>
      </c>
      <c r="C108" s="60" t="s">
        <v>24</v>
      </c>
      <c r="D108" s="64" t="s">
        <v>367</v>
      </c>
    </row>
    <row r="109" spans="1:4" ht="30" customHeight="1" x14ac:dyDescent="0.25">
      <c r="A109" s="56">
        <v>8573</v>
      </c>
      <c r="B109" s="57" t="s">
        <v>218</v>
      </c>
      <c r="C109" s="56" t="s">
        <v>23</v>
      </c>
      <c r="D109" s="64"/>
    </row>
    <row r="110" spans="1:4" ht="30" customHeight="1" x14ac:dyDescent="0.25">
      <c r="A110" s="56">
        <v>8574</v>
      </c>
      <c r="B110" s="57" t="s">
        <v>197</v>
      </c>
      <c r="C110" s="56" t="s">
        <v>20</v>
      </c>
      <c r="D110" s="64"/>
    </row>
    <row r="111" spans="1:4" ht="30" customHeight="1" x14ac:dyDescent="0.25">
      <c r="A111" s="56">
        <v>8578</v>
      </c>
      <c r="B111" s="57" t="s">
        <v>308</v>
      </c>
      <c r="C111" s="56" t="s">
        <v>25</v>
      </c>
      <c r="D111" s="59" t="s">
        <v>377</v>
      </c>
    </row>
    <row r="112" spans="1:4" ht="30" customHeight="1" x14ac:dyDescent="0.25">
      <c r="A112" s="60">
        <v>8585</v>
      </c>
      <c r="B112" s="61" t="s">
        <v>249</v>
      </c>
      <c r="C112" s="60" t="s">
        <v>22</v>
      </c>
      <c r="D112" s="59" t="s">
        <v>365</v>
      </c>
    </row>
    <row r="113" spans="1:4" ht="30" customHeight="1" x14ac:dyDescent="0.25">
      <c r="A113" s="56">
        <v>8586</v>
      </c>
      <c r="B113" s="57" t="s">
        <v>112</v>
      </c>
      <c r="C113" s="56" t="s">
        <v>19</v>
      </c>
      <c r="D113" s="64"/>
    </row>
    <row r="114" spans="1:4" ht="30" customHeight="1" x14ac:dyDescent="0.25">
      <c r="A114" s="56">
        <v>8591</v>
      </c>
      <c r="B114" s="57" t="s">
        <v>144</v>
      </c>
      <c r="C114" s="56" t="s">
        <v>19</v>
      </c>
      <c r="D114" s="64"/>
    </row>
    <row r="115" spans="1:4" ht="30" customHeight="1" x14ac:dyDescent="0.25">
      <c r="A115" s="60">
        <v>8593</v>
      </c>
      <c r="B115" s="61" t="s">
        <v>106</v>
      </c>
      <c r="C115" s="56" t="s">
        <v>19</v>
      </c>
      <c r="D115" s="65"/>
    </row>
    <row r="116" spans="1:4" ht="30" customHeight="1" x14ac:dyDescent="0.25">
      <c r="A116" s="56">
        <v>8597</v>
      </c>
      <c r="B116" s="57" t="s">
        <v>238</v>
      </c>
      <c r="C116" s="56" t="s">
        <v>25</v>
      </c>
      <c r="D116" s="64"/>
    </row>
    <row r="117" spans="1:4" ht="30" customHeight="1" x14ac:dyDescent="0.25">
      <c r="A117" s="56">
        <v>8601</v>
      </c>
      <c r="B117" s="57" t="s">
        <v>255</v>
      </c>
      <c r="C117" s="56" t="s">
        <v>21</v>
      </c>
      <c r="D117" s="64"/>
    </row>
    <row r="118" spans="1:4" ht="30" customHeight="1" x14ac:dyDescent="0.25">
      <c r="A118" s="56">
        <v>8603</v>
      </c>
      <c r="B118" s="57" t="s">
        <v>163</v>
      </c>
      <c r="C118" s="56" t="s">
        <v>23</v>
      </c>
      <c r="D118" s="59" t="s">
        <v>334</v>
      </c>
    </row>
    <row r="119" spans="1:4" ht="30" customHeight="1" x14ac:dyDescent="0.25">
      <c r="A119" s="56">
        <v>8608</v>
      </c>
      <c r="B119" s="57" t="s">
        <v>299</v>
      </c>
      <c r="C119" s="56" t="s">
        <v>21</v>
      </c>
      <c r="D119" s="64"/>
    </row>
    <row r="120" spans="1:4" ht="30" customHeight="1" x14ac:dyDescent="0.25">
      <c r="A120" s="56">
        <v>8609</v>
      </c>
      <c r="B120" s="57" t="s">
        <v>254</v>
      </c>
      <c r="C120" s="56" t="s">
        <v>20</v>
      </c>
      <c r="D120" s="64"/>
    </row>
    <row r="121" spans="1:4" ht="30" customHeight="1" x14ac:dyDescent="0.25">
      <c r="A121" s="56">
        <v>8612</v>
      </c>
      <c r="B121" s="57" t="s">
        <v>161</v>
      </c>
      <c r="C121" s="56" t="s">
        <v>19</v>
      </c>
      <c r="D121" s="64"/>
    </row>
    <row r="122" spans="1:4" ht="30" customHeight="1" x14ac:dyDescent="0.25">
      <c r="A122" s="56">
        <v>8613</v>
      </c>
      <c r="B122" s="57" t="s">
        <v>199</v>
      </c>
      <c r="C122" s="56" t="s">
        <v>20</v>
      </c>
      <c r="D122" s="64" t="s">
        <v>348</v>
      </c>
    </row>
    <row r="123" spans="1:4" ht="30" customHeight="1" x14ac:dyDescent="0.25">
      <c r="A123" s="56">
        <v>8615</v>
      </c>
      <c r="B123" s="57" t="s">
        <v>122</v>
      </c>
      <c r="C123" s="56" t="s">
        <v>25</v>
      </c>
      <c r="D123" s="64"/>
    </row>
    <row r="124" spans="1:4" ht="30" customHeight="1" x14ac:dyDescent="0.25">
      <c r="A124" s="56">
        <v>8632</v>
      </c>
      <c r="B124" s="57" t="s">
        <v>263</v>
      </c>
      <c r="C124" s="56" t="s">
        <v>19</v>
      </c>
      <c r="D124" s="64"/>
    </row>
    <row r="125" spans="1:4" ht="30" customHeight="1" x14ac:dyDescent="0.25">
      <c r="A125" s="56">
        <v>8638</v>
      </c>
      <c r="B125" s="57" t="s">
        <v>310</v>
      </c>
      <c r="C125" s="56" t="s">
        <v>24</v>
      </c>
      <c r="D125" s="64"/>
    </row>
    <row r="126" spans="1:4" ht="30" customHeight="1" x14ac:dyDescent="0.25">
      <c r="A126" s="60">
        <v>8644</v>
      </c>
      <c r="B126" s="61" t="s">
        <v>239</v>
      </c>
      <c r="C126" s="60" t="s">
        <v>24</v>
      </c>
      <c r="D126" s="64" t="s">
        <v>360</v>
      </c>
    </row>
    <row r="127" spans="1:4" ht="30" customHeight="1" x14ac:dyDescent="0.25">
      <c r="A127" s="56">
        <v>8649</v>
      </c>
      <c r="B127" s="57" t="s">
        <v>191</v>
      </c>
      <c r="C127" s="56" t="s">
        <v>25</v>
      </c>
      <c r="D127" s="64"/>
    </row>
    <row r="128" spans="1:4" ht="30" customHeight="1" x14ac:dyDescent="0.25">
      <c r="A128" s="56">
        <v>8661</v>
      </c>
      <c r="B128" s="57" t="s">
        <v>173</v>
      </c>
      <c r="C128" s="56" t="s">
        <v>19</v>
      </c>
      <c r="D128" s="59" t="s">
        <v>340</v>
      </c>
    </row>
    <row r="129" spans="1:4" ht="30" customHeight="1" x14ac:dyDescent="0.25">
      <c r="A129" s="60">
        <v>8663</v>
      </c>
      <c r="B129" s="61" t="s">
        <v>166</v>
      </c>
      <c r="C129" s="60" t="s">
        <v>20</v>
      </c>
      <c r="D129" s="59" t="s">
        <v>336</v>
      </c>
    </row>
    <row r="130" spans="1:4" ht="30" customHeight="1" x14ac:dyDescent="0.25">
      <c r="A130" s="56">
        <v>8669</v>
      </c>
      <c r="B130" s="57" t="s">
        <v>276</v>
      </c>
      <c r="C130" s="56" t="s">
        <v>19</v>
      </c>
      <c r="D130" s="64"/>
    </row>
    <row r="131" spans="1:4" ht="30" customHeight="1" x14ac:dyDescent="0.25">
      <c r="A131" s="56">
        <v>8671</v>
      </c>
      <c r="B131" s="57" t="s">
        <v>142</v>
      </c>
      <c r="C131" s="56" t="s">
        <v>19</v>
      </c>
      <c r="D131" s="64"/>
    </row>
    <row r="132" spans="1:4" ht="30" customHeight="1" x14ac:dyDescent="0.25">
      <c r="A132" s="56">
        <v>8679</v>
      </c>
      <c r="B132" s="57" t="s">
        <v>209</v>
      </c>
      <c r="C132" s="56" t="s">
        <v>21</v>
      </c>
      <c r="D132" s="64"/>
    </row>
    <row r="133" spans="1:4" ht="30" customHeight="1" x14ac:dyDescent="0.25">
      <c r="A133" s="60">
        <v>8680</v>
      </c>
      <c r="B133" s="61" t="s">
        <v>207</v>
      </c>
      <c r="C133" s="60" t="s">
        <v>23</v>
      </c>
      <c r="D133" s="64" t="s">
        <v>352</v>
      </c>
    </row>
    <row r="134" spans="1:4" ht="30" customHeight="1" x14ac:dyDescent="0.25">
      <c r="A134" s="56">
        <v>8683</v>
      </c>
      <c r="B134" s="57" t="s">
        <v>285</v>
      </c>
      <c r="C134" s="56" t="s">
        <v>21</v>
      </c>
      <c r="D134" s="64"/>
    </row>
    <row r="135" spans="1:4" ht="30" customHeight="1" x14ac:dyDescent="0.25">
      <c r="A135" s="56">
        <v>8688</v>
      </c>
      <c r="B135" s="57" t="s">
        <v>170</v>
      </c>
      <c r="C135" s="56" t="s">
        <v>25</v>
      </c>
      <c r="D135" s="59" t="s">
        <v>337</v>
      </c>
    </row>
    <row r="136" spans="1:4" ht="30" customHeight="1" x14ac:dyDescent="0.25">
      <c r="A136" s="56">
        <v>8722</v>
      </c>
      <c r="B136" s="57" t="s">
        <v>237</v>
      </c>
      <c r="C136" s="56" t="s">
        <v>22</v>
      </c>
      <c r="D136" s="64"/>
    </row>
    <row r="137" spans="1:4" ht="30" customHeight="1" x14ac:dyDescent="0.25">
      <c r="A137" s="56">
        <v>8728</v>
      </c>
      <c r="B137" s="57" t="s">
        <v>232</v>
      </c>
      <c r="C137" s="56" t="s">
        <v>20</v>
      </c>
      <c r="D137" s="64"/>
    </row>
    <row r="138" spans="1:4" ht="30" customHeight="1" x14ac:dyDescent="0.25">
      <c r="A138" s="56">
        <v>8732</v>
      </c>
      <c r="B138" s="57" t="s">
        <v>194</v>
      </c>
      <c r="C138" s="56" t="s">
        <v>19</v>
      </c>
      <c r="D138" s="64"/>
    </row>
    <row r="139" spans="1:4" ht="30" customHeight="1" x14ac:dyDescent="0.25">
      <c r="A139" s="60">
        <v>8733</v>
      </c>
      <c r="B139" s="61" t="s">
        <v>158</v>
      </c>
      <c r="C139" s="60" t="s">
        <v>24</v>
      </c>
      <c r="D139" s="65"/>
    </row>
    <row r="140" spans="1:4" ht="30" customHeight="1" x14ac:dyDescent="0.25">
      <c r="A140" s="56">
        <v>8734</v>
      </c>
      <c r="B140" s="57" t="s">
        <v>114</v>
      </c>
      <c r="C140" s="56" t="s">
        <v>22</v>
      </c>
      <c r="D140" s="59" t="s">
        <v>319</v>
      </c>
    </row>
    <row r="141" spans="1:4" ht="30" customHeight="1" x14ac:dyDescent="0.25">
      <c r="A141" s="56">
        <v>8735</v>
      </c>
      <c r="B141" s="57" t="s">
        <v>228</v>
      </c>
      <c r="C141" s="56" t="s">
        <v>21</v>
      </c>
      <c r="D141" s="64"/>
    </row>
    <row r="142" spans="1:4" ht="30" customHeight="1" x14ac:dyDescent="0.25">
      <c r="A142" s="60">
        <v>8745</v>
      </c>
      <c r="B142" s="61" t="s">
        <v>179</v>
      </c>
      <c r="C142" s="60" t="s">
        <v>24</v>
      </c>
      <c r="D142" s="65" t="s">
        <v>343</v>
      </c>
    </row>
    <row r="143" spans="1:4" ht="30" customHeight="1" x14ac:dyDescent="0.25">
      <c r="A143" s="56">
        <v>8748</v>
      </c>
      <c r="B143" s="57" t="s">
        <v>176</v>
      </c>
      <c r="C143" s="56" t="s">
        <v>21</v>
      </c>
      <c r="D143" s="64"/>
    </row>
    <row r="144" spans="1:4" ht="30" customHeight="1" x14ac:dyDescent="0.25">
      <c r="A144" s="56">
        <v>8750</v>
      </c>
      <c r="B144" s="57" t="s">
        <v>141</v>
      </c>
      <c r="C144" s="56" t="s">
        <v>19</v>
      </c>
      <c r="D144" s="59" t="s">
        <v>327</v>
      </c>
    </row>
    <row r="145" spans="1:4" ht="30" customHeight="1" x14ac:dyDescent="0.25">
      <c r="A145" s="56">
        <v>8752</v>
      </c>
      <c r="B145" s="57" t="s">
        <v>235</v>
      </c>
      <c r="C145" s="56" t="s">
        <v>24</v>
      </c>
      <c r="D145" s="64" t="s">
        <v>359</v>
      </c>
    </row>
    <row r="146" spans="1:4" ht="30" customHeight="1" x14ac:dyDescent="0.25">
      <c r="A146" s="56">
        <v>8755</v>
      </c>
      <c r="B146" s="57" t="s">
        <v>258</v>
      </c>
      <c r="C146" s="56" t="s">
        <v>21</v>
      </c>
      <c r="D146" s="64"/>
    </row>
    <row r="147" spans="1:4" ht="30" customHeight="1" x14ac:dyDescent="0.25">
      <c r="A147" s="56">
        <v>8771</v>
      </c>
      <c r="B147" s="57" t="s">
        <v>230</v>
      </c>
      <c r="C147" s="56" t="s">
        <v>25</v>
      </c>
      <c r="D147" s="64"/>
    </row>
    <row r="148" spans="1:4" ht="30" customHeight="1" x14ac:dyDescent="0.25">
      <c r="A148" s="56">
        <v>8773</v>
      </c>
      <c r="B148" s="57" t="s">
        <v>116</v>
      </c>
      <c r="C148" s="56" t="s">
        <v>19</v>
      </c>
      <c r="D148" s="64"/>
    </row>
    <row r="149" spans="1:4" ht="30" customHeight="1" x14ac:dyDescent="0.25">
      <c r="A149" s="56">
        <v>8774</v>
      </c>
      <c r="B149" s="57" t="s">
        <v>195</v>
      </c>
      <c r="C149" s="56" t="s">
        <v>21</v>
      </c>
      <c r="D149" s="64"/>
    </row>
    <row r="150" spans="1:4" ht="30" customHeight="1" x14ac:dyDescent="0.25">
      <c r="A150" s="56">
        <v>8776</v>
      </c>
      <c r="B150" s="57" t="s">
        <v>111</v>
      </c>
      <c r="C150" s="56" t="s">
        <v>25</v>
      </c>
      <c r="D150" s="64"/>
    </row>
    <row r="151" spans="1:4" ht="30" customHeight="1" x14ac:dyDescent="0.25">
      <c r="A151" s="56">
        <v>8789</v>
      </c>
      <c r="B151" s="57" t="s">
        <v>97</v>
      </c>
      <c r="C151" s="56" t="s">
        <v>19</v>
      </c>
      <c r="D151" s="59" t="s">
        <v>314</v>
      </c>
    </row>
    <row r="152" spans="1:4" ht="30" customHeight="1" x14ac:dyDescent="0.25">
      <c r="A152" s="56">
        <v>8801</v>
      </c>
      <c r="B152" s="57" t="s">
        <v>136</v>
      </c>
      <c r="C152" s="56" t="s">
        <v>23</v>
      </c>
      <c r="D152" s="64"/>
    </row>
    <row r="153" spans="1:4" ht="30" customHeight="1" x14ac:dyDescent="0.25">
      <c r="A153" s="56">
        <v>8815</v>
      </c>
      <c r="B153" s="57" t="s">
        <v>129</v>
      </c>
      <c r="C153" s="56" t="s">
        <v>19</v>
      </c>
      <c r="D153" s="64"/>
    </row>
    <row r="154" spans="1:4" ht="30" customHeight="1" x14ac:dyDescent="0.25">
      <c r="A154" s="56">
        <v>8821</v>
      </c>
      <c r="B154" s="57" t="s">
        <v>119</v>
      </c>
      <c r="C154" s="56" t="s">
        <v>25</v>
      </c>
      <c r="D154" s="64"/>
    </row>
    <row r="155" spans="1:4" ht="30" customHeight="1" x14ac:dyDescent="0.25">
      <c r="A155" s="56">
        <v>8827</v>
      </c>
      <c r="B155" s="57" t="s">
        <v>205</v>
      </c>
      <c r="C155" s="56" t="s">
        <v>23</v>
      </c>
      <c r="D155" s="59" t="s">
        <v>351</v>
      </c>
    </row>
    <row r="156" spans="1:4" ht="30" customHeight="1" x14ac:dyDescent="0.25">
      <c r="A156" s="56">
        <v>8831</v>
      </c>
      <c r="B156" s="57" t="s">
        <v>148</v>
      </c>
      <c r="C156" s="56" t="s">
        <v>21</v>
      </c>
      <c r="D156" s="64"/>
    </row>
    <row r="157" spans="1:4" ht="30" customHeight="1" x14ac:dyDescent="0.25">
      <c r="A157" s="60">
        <v>8850</v>
      </c>
      <c r="B157" s="61" t="s">
        <v>149</v>
      </c>
      <c r="C157" s="60" t="s">
        <v>20</v>
      </c>
      <c r="D157" s="59" t="s">
        <v>329</v>
      </c>
    </row>
    <row r="158" spans="1:4" ht="30" customHeight="1" x14ac:dyDescent="0.25">
      <c r="A158" s="56">
        <v>8856</v>
      </c>
      <c r="B158" s="57" t="s">
        <v>260</v>
      </c>
      <c r="C158" s="56" t="s">
        <v>25</v>
      </c>
      <c r="D158" s="64"/>
    </row>
    <row r="159" spans="1:4" ht="30" customHeight="1" x14ac:dyDescent="0.25">
      <c r="A159" s="56">
        <v>8872</v>
      </c>
      <c r="B159" s="57" t="s">
        <v>198</v>
      </c>
      <c r="C159" s="56" t="s">
        <v>21</v>
      </c>
      <c r="D159" s="64"/>
    </row>
    <row r="160" spans="1:4" ht="30" customHeight="1" x14ac:dyDescent="0.25">
      <c r="A160" s="56">
        <v>8877</v>
      </c>
      <c r="B160" s="57" t="s">
        <v>231</v>
      </c>
      <c r="C160" s="56" t="s">
        <v>19</v>
      </c>
      <c r="D160" s="64"/>
    </row>
    <row r="161" spans="1:4" ht="30" customHeight="1" x14ac:dyDescent="0.25">
      <c r="A161" s="56">
        <v>8878</v>
      </c>
      <c r="B161" s="57" t="s">
        <v>211</v>
      </c>
      <c r="C161" s="56" t="s">
        <v>25</v>
      </c>
      <c r="D161" s="64"/>
    </row>
    <row r="162" spans="1:4" ht="30" customHeight="1" x14ac:dyDescent="0.25">
      <c r="A162" s="60">
        <v>8905</v>
      </c>
      <c r="B162" s="61" t="s">
        <v>272</v>
      </c>
      <c r="C162" s="60" t="s">
        <v>19</v>
      </c>
      <c r="D162" s="65" t="s">
        <v>369</v>
      </c>
    </row>
    <row r="163" spans="1:4" ht="30" customHeight="1" x14ac:dyDescent="0.25">
      <c r="A163" s="56">
        <v>8908</v>
      </c>
      <c r="B163" s="57" t="s">
        <v>303</v>
      </c>
      <c r="C163" s="56" t="s">
        <v>21</v>
      </c>
      <c r="D163" s="64"/>
    </row>
    <row r="164" spans="1:4" ht="30" customHeight="1" x14ac:dyDescent="0.25">
      <c r="A164" s="60">
        <v>8910</v>
      </c>
      <c r="B164" s="61" t="s">
        <v>243</v>
      </c>
      <c r="C164" s="60" t="s">
        <v>24</v>
      </c>
      <c r="D164" s="64" t="s">
        <v>362</v>
      </c>
    </row>
    <row r="165" spans="1:4" ht="30" customHeight="1" x14ac:dyDescent="0.25">
      <c r="A165" s="56">
        <v>8913</v>
      </c>
      <c r="B165" s="57" t="s">
        <v>147</v>
      </c>
      <c r="C165" s="56" t="s">
        <v>19</v>
      </c>
      <c r="D165" s="64"/>
    </row>
    <row r="166" spans="1:4" ht="30" customHeight="1" x14ac:dyDescent="0.25">
      <c r="A166" s="56">
        <v>8921</v>
      </c>
      <c r="B166" s="57" t="s">
        <v>279</v>
      </c>
      <c r="C166" s="56" t="s">
        <v>22</v>
      </c>
      <c r="D166" s="64"/>
    </row>
    <row r="167" spans="1:4" ht="30" customHeight="1" x14ac:dyDescent="0.25">
      <c r="A167" s="56">
        <v>8954</v>
      </c>
      <c r="B167" s="57" t="s">
        <v>288</v>
      </c>
      <c r="C167" s="56" t="s">
        <v>23</v>
      </c>
      <c r="D167" s="64"/>
    </row>
    <row r="168" spans="1:4" ht="30" customHeight="1" x14ac:dyDescent="0.25">
      <c r="A168" s="56">
        <v>8959</v>
      </c>
      <c r="B168" s="57" t="s">
        <v>251</v>
      </c>
      <c r="C168" s="56" t="s">
        <v>24</v>
      </c>
      <c r="D168" s="64"/>
    </row>
    <row r="169" spans="1:4" ht="30" customHeight="1" x14ac:dyDescent="0.25">
      <c r="A169" s="56">
        <v>8968</v>
      </c>
      <c r="B169" s="57" t="s">
        <v>196</v>
      </c>
      <c r="C169" s="56" t="s">
        <v>23</v>
      </c>
      <c r="D169" s="64"/>
    </row>
    <row r="170" spans="1:4" ht="30" customHeight="1" x14ac:dyDescent="0.25">
      <c r="A170" s="56">
        <v>8974</v>
      </c>
      <c r="B170" s="57" t="s">
        <v>309</v>
      </c>
      <c r="C170" s="56" t="s">
        <v>21</v>
      </c>
      <c r="D170" s="64"/>
    </row>
    <row r="171" spans="1:4" ht="30" customHeight="1" x14ac:dyDescent="0.25">
      <c r="A171" s="56">
        <v>8976</v>
      </c>
      <c r="B171" s="57" t="s">
        <v>287</v>
      </c>
      <c r="C171" s="56" t="s">
        <v>19</v>
      </c>
      <c r="D171" s="64"/>
    </row>
    <row r="172" spans="1:4" ht="30" customHeight="1" x14ac:dyDescent="0.25">
      <c r="A172" s="56">
        <v>8982</v>
      </c>
      <c r="B172" s="57" t="s">
        <v>307</v>
      </c>
      <c r="C172" s="56" t="s">
        <v>23</v>
      </c>
      <c r="D172" s="64"/>
    </row>
    <row r="173" spans="1:4" ht="30" customHeight="1" x14ac:dyDescent="0.25">
      <c r="A173" s="56">
        <v>8983</v>
      </c>
      <c r="B173" s="57" t="s">
        <v>289</v>
      </c>
      <c r="C173" s="56" t="s">
        <v>21</v>
      </c>
      <c r="D173" s="64"/>
    </row>
    <row r="174" spans="1:4" ht="30" customHeight="1" x14ac:dyDescent="0.25">
      <c r="A174" s="56">
        <v>8988</v>
      </c>
      <c r="B174" s="57" t="s">
        <v>98</v>
      </c>
      <c r="C174" s="56" t="s">
        <v>19</v>
      </c>
      <c r="D174" s="59" t="s">
        <v>315</v>
      </c>
    </row>
    <row r="175" spans="1:4" ht="30" customHeight="1" x14ac:dyDescent="0.25">
      <c r="A175" s="56">
        <v>8989</v>
      </c>
      <c r="B175" s="57" t="s">
        <v>227</v>
      </c>
      <c r="C175" s="56" t="s">
        <v>22</v>
      </c>
      <c r="D175" s="64"/>
    </row>
    <row r="176" spans="1:4" ht="30" customHeight="1" x14ac:dyDescent="0.25">
      <c r="A176" s="56">
        <v>8990</v>
      </c>
      <c r="B176" s="57" t="s">
        <v>270</v>
      </c>
      <c r="C176" s="56" t="s">
        <v>19</v>
      </c>
      <c r="D176" s="64"/>
    </row>
    <row r="177" spans="1:4" ht="30" customHeight="1" x14ac:dyDescent="0.25">
      <c r="A177" s="56">
        <v>8991</v>
      </c>
      <c r="B177" s="57" t="s">
        <v>168</v>
      </c>
      <c r="C177" s="56" t="s">
        <v>21</v>
      </c>
      <c r="D177" s="64"/>
    </row>
    <row r="178" spans="1:4" ht="30" customHeight="1" x14ac:dyDescent="0.25">
      <c r="A178" s="56">
        <v>8993</v>
      </c>
      <c r="B178" s="57" t="s">
        <v>300</v>
      </c>
      <c r="C178" s="56" t="s">
        <v>21</v>
      </c>
      <c r="D178" s="64"/>
    </row>
    <row r="179" spans="1:4" ht="30" customHeight="1" x14ac:dyDescent="0.25">
      <c r="A179" s="56">
        <v>8995</v>
      </c>
      <c r="B179" s="57" t="s">
        <v>120</v>
      </c>
      <c r="C179" s="56" t="s">
        <v>24</v>
      </c>
      <c r="D179" s="59" t="s">
        <v>321</v>
      </c>
    </row>
    <row r="180" spans="1:4" ht="30" customHeight="1" x14ac:dyDescent="0.25">
      <c r="A180" s="56">
        <v>8997</v>
      </c>
      <c r="B180" s="57" t="s">
        <v>178</v>
      </c>
      <c r="C180" s="56" t="s">
        <v>25</v>
      </c>
      <c r="D180" s="59" t="s">
        <v>342</v>
      </c>
    </row>
    <row r="181" spans="1:4" ht="30" customHeight="1" x14ac:dyDescent="0.25">
      <c r="A181" s="56">
        <v>8999</v>
      </c>
      <c r="B181" s="57" t="s">
        <v>296</v>
      </c>
      <c r="C181" s="56" t="s">
        <v>24</v>
      </c>
      <c r="D181" s="59" t="s">
        <v>374</v>
      </c>
    </row>
    <row r="182" spans="1:4" ht="15.75" customHeight="1" x14ac:dyDescent="0.25"/>
    <row r="183" spans="1:4" ht="15.75" customHeight="1" x14ac:dyDescent="0.25"/>
    <row r="184" spans="1:4" ht="15.75" customHeight="1" x14ac:dyDescent="0.25"/>
    <row r="185" spans="1:4" ht="15.75" customHeight="1" x14ac:dyDescent="0.25"/>
    <row r="186" spans="1:4" ht="15.75" customHeight="1" x14ac:dyDescent="0.25"/>
    <row r="187" spans="1:4" ht="15.75" customHeight="1" x14ac:dyDescent="0.25"/>
    <row r="188" spans="1:4" ht="15.75" customHeight="1" x14ac:dyDescent="0.25"/>
    <row r="189" spans="1:4" ht="15.75" customHeight="1" x14ac:dyDescent="0.25"/>
    <row r="190" spans="1:4" ht="15.75" customHeight="1" x14ac:dyDescent="0.25"/>
    <row r="191" spans="1:4" ht="15.75" customHeight="1" x14ac:dyDescent="0.25"/>
    <row r="192" spans="1:4"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autoFilter ref="A1:D1" xr:uid="{00000000-0001-0000-0500-000000000000}">
    <sortState xmlns:xlrd2="http://schemas.microsoft.com/office/spreadsheetml/2017/richdata2" ref="A2:D181">
      <sortCondition ref="A1"/>
    </sortState>
  </autoFilter>
  <dataValidations count="1">
    <dataValidation type="list" allowBlank="1" sqref="C2:C181" xr:uid="{00000000-0002-0000-0500-000000000000}">
      <formula1>"Credit reporting,Debt collection,Mortgage,Credit card,Bank account or service,Consumer loan,Money transfer or service"</formula1>
      <formula2>0</formula2>
    </dataValidation>
  </dataValidations>
  <pageMargins left="0.75" right="0.75" top="1" bottom="1" header="0.511811023622047" footer="0.511811023622047"/>
  <pageSetup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R34"/>
  <sheetViews>
    <sheetView showGridLines="0" zoomScaleNormal="100" workbookViewId="0">
      <selection activeCell="C37" sqref="C37"/>
    </sheetView>
  </sheetViews>
  <sheetFormatPr defaultColWidth="8.7109375" defaultRowHeight="15" x14ac:dyDescent="0.25"/>
  <cols>
    <col min="1" max="1" width="34" customWidth="1"/>
    <col min="2" max="2" width="19.7109375" customWidth="1"/>
    <col min="3" max="3" width="22.140625" customWidth="1"/>
    <col min="4" max="4" width="16" customWidth="1"/>
    <col min="5" max="5" width="22.42578125" customWidth="1"/>
    <col min="6" max="8" width="16" customWidth="1"/>
  </cols>
  <sheetData>
    <row r="1" spans="1:18" ht="15.75" customHeight="1" x14ac:dyDescent="0.25">
      <c r="A1" s="2" t="s">
        <v>378</v>
      </c>
    </row>
    <row r="2" spans="1:18" ht="15" customHeight="1" x14ac:dyDescent="0.25">
      <c r="A2" s="1" t="s">
        <v>379</v>
      </c>
    </row>
    <row r="4" spans="1:18" ht="15" customHeight="1" x14ac:dyDescent="0.25">
      <c r="A4" s="26" t="s">
        <v>380</v>
      </c>
      <c r="B4" s="53">
        <f>COUNTA('Labeler 1'!$C$2:$C$181)</f>
        <v>180</v>
      </c>
      <c r="C4" s="53"/>
    </row>
    <row r="5" spans="1:18" ht="15" customHeight="1" x14ac:dyDescent="0.25">
      <c r="A5" s="26" t="s">
        <v>381</v>
      </c>
      <c r="B5" s="53">
        <f>SUMPRODUCT(--('Labeler 1'!$C$2:$C$181='Labeler 2'!$C$2:$C$181))</f>
        <v>160</v>
      </c>
      <c r="C5" s="53"/>
    </row>
    <row r="6" spans="1:18" ht="15" customHeight="1" x14ac:dyDescent="0.25">
      <c r="A6" s="26" t="s">
        <v>382</v>
      </c>
      <c r="B6" s="53">
        <f>B4-B5</f>
        <v>20</v>
      </c>
      <c r="C6" s="53"/>
    </row>
    <row r="7" spans="1:18" ht="15" customHeight="1" x14ac:dyDescent="0.25">
      <c r="A7" s="26" t="s">
        <v>383</v>
      </c>
      <c r="B7" s="54">
        <f>B5/B4</f>
        <v>0.88888888888888884</v>
      </c>
      <c r="C7" s="54"/>
    </row>
    <row r="8" spans="1:18" ht="15" customHeight="1" x14ac:dyDescent="0.25">
      <c r="A8" s="26" t="s">
        <v>384</v>
      </c>
      <c r="B8" s="54">
        <f>SUMPRODUCT($B$16:$B$22,$C$16:$C$22)/B4^2</f>
        <v>0.17324074074074075</v>
      </c>
      <c r="C8" s="54"/>
    </row>
    <row r="9" spans="1:18" ht="15" customHeight="1" x14ac:dyDescent="0.25">
      <c r="A9" s="26" t="s">
        <v>385</v>
      </c>
      <c r="B9" s="52">
        <f>(B7-B8)/(1-B8)</f>
        <v>0.86560645089035715</v>
      </c>
      <c r="C9" s="52"/>
    </row>
    <row r="10" spans="1:18" ht="15" customHeight="1" x14ac:dyDescent="0.25">
      <c r="A10" s="26" t="s">
        <v>386</v>
      </c>
      <c r="B10" s="44" t="s">
        <v>387</v>
      </c>
      <c r="C10" s="44"/>
      <c r="D10" s="46" t="s">
        <v>388</v>
      </c>
      <c r="E10" s="47"/>
      <c r="F10" s="47"/>
      <c r="G10" s="47"/>
      <c r="H10" s="47"/>
      <c r="I10" s="47"/>
      <c r="J10" s="47"/>
      <c r="K10" s="47"/>
      <c r="L10" s="47"/>
      <c r="M10" s="47"/>
      <c r="N10" s="47"/>
      <c r="O10" s="47"/>
      <c r="P10" s="47"/>
      <c r="Q10" s="47"/>
      <c r="R10" s="47"/>
    </row>
    <row r="11" spans="1:18" ht="15" customHeight="1" x14ac:dyDescent="0.25">
      <c r="A11" s="26" t="s">
        <v>389</v>
      </c>
      <c r="B11" s="45" t="str">
        <f>IF(B9&gt;0.8,"Almost perfect (Landis &amp; Koch 1977: &gt;0.80)",IF(B9&gt;0.6,"Substantial (0.61-0.80)",IF(B9&gt;0.4,"Moderate (0.41-0.60)","Fair or below")))</f>
        <v>Almost perfect (Landis &amp; Koch 1977: &gt;0.80)</v>
      </c>
      <c r="C11" s="45"/>
    </row>
    <row r="14" spans="1:18" ht="15" customHeight="1" x14ac:dyDescent="0.25">
      <c r="A14" s="48" t="s">
        <v>390</v>
      </c>
      <c r="B14" s="48"/>
      <c r="C14" s="48"/>
      <c r="D14" s="48"/>
      <c r="E14" s="48"/>
    </row>
    <row r="15" spans="1:18" ht="15" customHeight="1" x14ac:dyDescent="0.25">
      <c r="A15" s="17" t="s">
        <v>26</v>
      </c>
      <c r="B15" s="17" t="s">
        <v>391</v>
      </c>
      <c r="C15" s="17" t="s">
        <v>392</v>
      </c>
      <c r="D15" s="17" t="s">
        <v>393</v>
      </c>
      <c r="E15" s="17" t="s">
        <v>394</v>
      </c>
    </row>
    <row r="16" spans="1:18" ht="15" customHeight="1" x14ac:dyDescent="0.25">
      <c r="A16" s="14" t="s">
        <v>19</v>
      </c>
      <c r="B16" s="14">
        <f>COUNTIF('Labeler 1'!$C$2:$C$181,A16)</f>
        <v>55</v>
      </c>
      <c r="C16" s="14">
        <f>COUNTIF('Labeler 2'!$C$2:$C$181,A16)</f>
        <v>53</v>
      </c>
      <c r="D16" s="14">
        <f>SUMPRODUCT(('Labeler 1'!$C$2:$C$181=A16)*('Labeler 2'!$C$2:$C$181=A16))</f>
        <v>52</v>
      </c>
      <c r="E16" s="24">
        <f t="shared" ref="E16:E22" si="0">IFERROR(2*D16/(B16+C16),0)</f>
        <v>0.96296296296296291</v>
      </c>
    </row>
    <row r="17" spans="1:8" ht="15" customHeight="1" x14ac:dyDescent="0.25">
      <c r="A17" s="14" t="s">
        <v>20</v>
      </c>
      <c r="B17" s="14">
        <f>COUNTIF('Labeler 1'!$C$2:$C$181,A17)</f>
        <v>14</v>
      </c>
      <c r="C17" s="14">
        <f>COUNTIF('Labeler 2'!$C$2:$C$181,A17)</f>
        <v>17</v>
      </c>
      <c r="D17" s="14">
        <f>SUMPRODUCT(('Labeler 1'!$C$2:$C$181=A17)*('Labeler 2'!$C$2:$C$181=A17))</f>
        <v>14</v>
      </c>
      <c r="E17" s="24">
        <f t="shared" si="0"/>
        <v>0.90322580645161288</v>
      </c>
    </row>
    <row r="18" spans="1:8" ht="15" customHeight="1" x14ac:dyDescent="0.25">
      <c r="A18" s="14" t="s">
        <v>21</v>
      </c>
      <c r="B18" s="14">
        <f>COUNTIF('Labeler 1'!$C$2:$C$181,A18)</f>
        <v>26</v>
      </c>
      <c r="C18" s="14">
        <f>COUNTIF('Labeler 2'!$C$2:$C$181,A18)</f>
        <v>27</v>
      </c>
      <c r="D18" s="14">
        <f>SUMPRODUCT(('Labeler 1'!$C$2:$C$181=A18)*('Labeler 2'!$C$2:$C$181=A18))</f>
        <v>26</v>
      </c>
      <c r="E18" s="24">
        <f t="shared" si="0"/>
        <v>0.98113207547169812</v>
      </c>
    </row>
    <row r="19" spans="1:8" ht="15" customHeight="1" x14ac:dyDescent="0.25">
      <c r="A19" s="14" t="s">
        <v>22</v>
      </c>
      <c r="B19" s="14">
        <f>COUNTIF('Labeler 1'!$C$2:$C$181,A19)</f>
        <v>19</v>
      </c>
      <c r="C19" s="14">
        <f>COUNTIF('Labeler 2'!$C$2:$C$181,A19)</f>
        <v>21</v>
      </c>
      <c r="D19" s="14">
        <f>SUMPRODUCT(('Labeler 1'!$C$2:$C$181=A19)*('Labeler 2'!$C$2:$C$181=A19))</f>
        <v>19</v>
      </c>
      <c r="E19" s="24">
        <f t="shared" si="0"/>
        <v>0.95</v>
      </c>
    </row>
    <row r="20" spans="1:8" ht="15" customHeight="1" x14ac:dyDescent="0.25">
      <c r="A20" s="14" t="s">
        <v>23</v>
      </c>
      <c r="B20" s="14">
        <f>COUNTIF('Labeler 1'!$C$2:$C$181,A20)</f>
        <v>12</v>
      </c>
      <c r="C20" s="14">
        <f>COUNTIF('Labeler 2'!$C$2:$C$181,A20)</f>
        <v>23</v>
      </c>
      <c r="D20" s="14">
        <f>SUMPRODUCT(('Labeler 1'!$C$2:$C$181=A20)*('Labeler 2'!$C$2:$C$181=A20))</f>
        <v>12</v>
      </c>
      <c r="E20" s="24">
        <f t="shared" si="0"/>
        <v>0.68571428571428572</v>
      </c>
    </row>
    <row r="21" spans="1:8" ht="15" customHeight="1" x14ac:dyDescent="0.25">
      <c r="A21" s="14" t="s">
        <v>24</v>
      </c>
      <c r="B21" s="14">
        <f>COUNTIF('Labeler 1'!$C$2:$C$181,A21)</f>
        <v>21</v>
      </c>
      <c r="C21" s="14">
        <f>COUNTIF('Labeler 2'!$C$2:$C$181,A21)</f>
        <v>17</v>
      </c>
      <c r="D21" s="14">
        <f>SUMPRODUCT(('Labeler 1'!$C$2:$C$181=A21)*('Labeler 2'!$C$2:$C$181=A21))</f>
        <v>16</v>
      </c>
      <c r="E21" s="24">
        <f t="shared" si="0"/>
        <v>0.84210526315789469</v>
      </c>
    </row>
    <row r="22" spans="1:8" ht="15" customHeight="1" x14ac:dyDescent="0.25">
      <c r="A22" s="14" t="s">
        <v>25</v>
      </c>
      <c r="B22" s="14">
        <f>COUNTIF('Labeler 1'!$C$2:$C$181,A22)</f>
        <v>33</v>
      </c>
      <c r="C22" s="14">
        <f>COUNTIF('Labeler 2'!$C$2:$C$181,A22)</f>
        <v>22</v>
      </c>
      <c r="D22" s="14">
        <f>SUMPRODUCT(('Labeler 1'!$C$2:$C$181=A22)*('Labeler 2'!$C$2:$C$181=A22))</f>
        <v>21</v>
      </c>
      <c r="E22" s="24">
        <f t="shared" si="0"/>
        <v>0.76363636363636367</v>
      </c>
    </row>
    <row r="23" spans="1:8" ht="15" customHeight="1" x14ac:dyDescent="0.25">
      <c r="A23" s="49" t="s">
        <v>395</v>
      </c>
      <c r="B23" s="50"/>
      <c r="C23" s="50"/>
      <c r="D23" s="50"/>
      <c r="E23" s="51"/>
    </row>
    <row r="25" spans="1:8" ht="15" customHeight="1" x14ac:dyDescent="0.25">
      <c r="A25" s="48" t="s">
        <v>396</v>
      </c>
      <c r="B25" s="48"/>
      <c r="C25" s="48"/>
      <c r="D25" s="48"/>
      <c r="E25" s="48"/>
      <c r="F25" s="48"/>
      <c r="G25" s="48"/>
      <c r="H25" s="48"/>
    </row>
    <row r="26" spans="1:8" ht="15" customHeight="1" x14ac:dyDescent="0.25">
      <c r="A26" s="17" t="s">
        <v>397</v>
      </c>
      <c r="B26" s="17" t="s">
        <v>398</v>
      </c>
      <c r="C26" s="17" t="s">
        <v>399</v>
      </c>
      <c r="D26" s="17" t="s">
        <v>400</v>
      </c>
      <c r="E26" s="17" t="s">
        <v>401</v>
      </c>
      <c r="F26" s="17" t="s">
        <v>402</v>
      </c>
      <c r="G26" s="17" t="s">
        <v>403</v>
      </c>
      <c r="H26" s="17" t="s">
        <v>404</v>
      </c>
    </row>
    <row r="27" spans="1:8" ht="15" customHeight="1" x14ac:dyDescent="0.25">
      <c r="A27" s="23" t="s">
        <v>19</v>
      </c>
      <c r="B27" s="14">
        <f>COUNTIFS('Labeler 1'!$C$2:$C$181,"Credit reporting",'Labeler 2'!$C$2:$C$181,"Credit reporting")</f>
        <v>52</v>
      </c>
      <c r="C27" s="14">
        <f>COUNTIFS('Labeler 1'!$C$2:$C$181,"Credit reporting",'Labeler 2'!$C$2:$C$181,"Debt collection")</f>
        <v>3</v>
      </c>
      <c r="D27" s="14">
        <f>COUNTIFS('Labeler 1'!$C$2:$C$181,"Credit reporting",'Labeler 2'!$C$2:$C$181,"Mortgage")</f>
        <v>0</v>
      </c>
      <c r="E27" s="14">
        <f>COUNTIFS('Labeler 1'!$C$2:$C$181,"Credit reporting",'Labeler 2'!$C$2:$C$181,"Credit card")</f>
        <v>0</v>
      </c>
      <c r="F27" s="14">
        <f>COUNTIFS('Labeler 1'!$C$2:$C$181,"Credit reporting",'Labeler 2'!$C$2:$C$181,"Bank account or service")</f>
        <v>0</v>
      </c>
      <c r="G27" s="14">
        <f>COUNTIFS('Labeler 1'!$C$2:$C$181,"Credit reporting",'Labeler 2'!$C$2:$C$181,"Consumer loan")</f>
        <v>0</v>
      </c>
      <c r="H27" s="14">
        <f>COUNTIFS('Labeler 1'!$C$2:$C$181,"Credit reporting",'Labeler 2'!$C$2:$C$181,"Money transfer or service")</f>
        <v>0</v>
      </c>
    </row>
    <row r="28" spans="1:8" ht="15" customHeight="1" x14ac:dyDescent="0.25">
      <c r="A28" s="23" t="s">
        <v>20</v>
      </c>
      <c r="B28" s="14">
        <f>COUNTIFS('Labeler 1'!$C$2:$C$181,"Debt collection",'Labeler 2'!$C$2:$C$181,"Credit reporting")</f>
        <v>0</v>
      </c>
      <c r="C28" s="14">
        <f>COUNTIFS('Labeler 1'!$C$2:$C$181,"Debt collection",'Labeler 2'!$C$2:$C$181,"Debt collection")</f>
        <v>14</v>
      </c>
      <c r="D28" s="14">
        <f>COUNTIFS('Labeler 1'!$C$2:$C$181,"Debt collection",'Labeler 2'!$C$2:$C$181,"Mortgage")</f>
        <v>0</v>
      </c>
      <c r="E28" s="14">
        <f>COUNTIFS('Labeler 1'!$C$2:$C$181,"Debt collection",'Labeler 2'!$C$2:$C$181,"Credit card")</f>
        <v>0</v>
      </c>
      <c r="F28" s="14">
        <f>COUNTIFS('Labeler 1'!$C$2:$C$181,"Debt collection",'Labeler 2'!$C$2:$C$181,"Bank account or service")</f>
        <v>0</v>
      </c>
      <c r="G28" s="14">
        <f>COUNTIFS('Labeler 1'!$C$2:$C$181,"Debt collection",'Labeler 2'!$C$2:$C$181,"Consumer loan")</f>
        <v>0</v>
      </c>
      <c r="H28" s="14">
        <f>COUNTIFS('Labeler 1'!$C$2:$C$181,"Debt collection",'Labeler 2'!$C$2:$C$181,"Money transfer or service")</f>
        <v>0</v>
      </c>
    </row>
    <row r="29" spans="1:8" ht="15" customHeight="1" x14ac:dyDescent="0.25">
      <c r="A29" s="23" t="s">
        <v>21</v>
      </c>
      <c r="B29" s="14">
        <f>COUNTIFS('Labeler 1'!$C$2:$C$181,"Mortgage",'Labeler 2'!$C$2:$C$181,"Credit reporting")</f>
        <v>0</v>
      </c>
      <c r="C29" s="14">
        <f>COUNTIFS('Labeler 1'!$C$2:$C$181,"Mortgage",'Labeler 2'!$C$2:$C$181,"Debt collection")</f>
        <v>0</v>
      </c>
      <c r="D29" s="14">
        <f>COUNTIFS('Labeler 1'!$C$2:$C$181,"Mortgage",'Labeler 2'!$C$2:$C$181,"Mortgage")</f>
        <v>26</v>
      </c>
      <c r="E29" s="14">
        <f>COUNTIFS('Labeler 1'!$C$2:$C$181,"Mortgage",'Labeler 2'!$C$2:$C$181,"Credit card")</f>
        <v>0</v>
      </c>
      <c r="F29" s="14">
        <f>COUNTIFS('Labeler 1'!$C$2:$C$181,"Mortgage",'Labeler 2'!$C$2:$C$181,"Bank account or service")</f>
        <v>0</v>
      </c>
      <c r="G29" s="14">
        <f>COUNTIFS('Labeler 1'!$C$2:$C$181,"Mortgage",'Labeler 2'!$C$2:$C$181,"Consumer loan")</f>
        <v>0</v>
      </c>
      <c r="H29" s="14">
        <f>COUNTIFS('Labeler 1'!$C$2:$C$181,"Mortgage",'Labeler 2'!$C$2:$C$181,"Money transfer or service")</f>
        <v>0</v>
      </c>
    </row>
    <row r="30" spans="1:8" ht="15" customHeight="1" x14ac:dyDescent="0.25">
      <c r="A30" s="23" t="s">
        <v>22</v>
      </c>
      <c r="B30" s="14">
        <f>COUNTIFS('Labeler 1'!$C$2:$C$181,"Credit card",'Labeler 2'!$C$2:$C$181,"Credit reporting")</f>
        <v>0</v>
      </c>
      <c r="C30" s="14">
        <f>COUNTIFS('Labeler 1'!$C$2:$C$181,"Credit card",'Labeler 2'!$C$2:$C$181,"Debt collection")</f>
        <v>0</v>
      </c>
      <c r="D30" s="14">
        <f>COUNTIFS('Labeler 1'!$C$2:$C$181,"Credit card",'Labeler 2'!$C$2:$C$181,"Mortgage")</f>
        <v>0</v>
      </c>
      <c r="E30" s="14">
        <f>COUNTIFS('Labeler 1'!$C$2:$C$181,"Credit card",'Labeler 2'!$C$2:$C$181,"Credit card")</f>
        <v>19</v>
      </c>
      <c r="F30" s="14">
        <f>COUNTIFS('Labeler 1'!$C$2:$C$181,"Credit card",'Labeler 2'!$C$2:$C$181,"Bank account or service")</f>
        <v>0</v>
      </c>
      <c r="G30" s="14">
        <f>COUNTIFS('Labeler 1'!$C$2:$C$181,"Credit card",'Labeler 2'!$C$2:$C$181,"Consumer loan")</f>
        <v>0</v>
      </c>
      <c r="H30" s="14">
        <f>COUNTIFS('Labeler 1'!$C$2:$C$181,"Credit card",'Labeler 2'!$C$2:$C$181,"Money transfer or service")</f>
        <v>0</v>
      </c>
    </row>
    <row r="31" spans="1:8" ht="15" customHeight="1" x14ac:dyDescent="0.25">
      <c r="A31" s="23" t="s">
        <v>23</v>
      </c>
      <c r="B31" s="14">
        <f>COUNTIFS('Labeler 1'!$C$2:$C$181,"Bank account or service",'Labeler 2'!$C$2:$C$181,"Credit reporting")</f>
        <v>0</v>
      </c>
      <c r="C31" s="14">
        <f>COUNTIFS('Labeler 1'!$C$2:$C$181,"Bank account or service",'Labeler 2'!$C$2:$C$181,"Debt collection")</f>
        <v>0</v>
      </c>
      <c r="D31" s="14">
        <f>COUNTIFS('Labeler 1'!$C$2:$C$181,"Bank account or service",'Labeler 2'!$C$2:$C$181,"Mortgage")</f>
        <v>0</v>
      </c>
      <c r="E31" s="14">
        <f>COUNTIFS('Labeler 1'!$C$2:$C$181,"Bank account or service",'Labeler 2'!$C$2:$C$181,"Credit card")</f>
        <v>0</v>
      </c>
      <c r="F31" s="14">
        <f>COUNTIFS('Labeler 1'!$C$2:$C$181,"Bank account or service",'Labeler 2'!$C$2:$C$181,"Bank account or service")</f>
        <v>12</v>
      </c>
      <c r="G31" s="14">
        <f>COUNTIFS('Labeler 1'!$C$2:$C$181,"Bank account or service",'Labeler 2'!$C$2:$C$181,"Consumer loan")</f>
        <v>0</v>
      </c>
      <c r="H31" s="14">
        <f>COUNTIFS('Labeler 1'!$C$2:$C$181,"Bank account or service",'Labeler 2'!$C$2:$C$181,"Money transfer or service")</f>
        <v>0</v>
      </c>
    </row>
    <row r="32" spans="1:8" ht="15" customHeight="1" x14ac:dyDescent="0.25">
      <c r="A32" s="23" t="s">
        <v>24</v>
      </c>
      <c r="B32" s="14">
        <f>COUNTIFS('Labeler 1'!$C$2:$C$181,"Consumer loan",'Labeler 2'!$C$2:$C$181,"Credit reporting")</f>
        <v>1</v>
      </c>
      <c r="C32" s="14">
        <f>COUNTIFS('Labeler 1'!$C$2:$C$181,"Consumer loan",'Labeler 2'!$C$2:$C$181,"Debt collection")</f>
        <v>0</v>
      </c>
      <c r="D32" s="14">
        <f>COUNTIFS('Labeler 1'!$C$2:$C$181,"Consumer loan",'Labeler 2'!$C$2:$C$181,"Mortgage")</f>
        <v>1</v>
      </c>
      <c r="E32" s="14">
        <f>COUNTIFS('Labeler 1'!$C$2:$C$181,"Consumer loan",'Labeler 2'!$C$2:$C$181,"Credit card")</f>
        <v>2</v>
      </c>
      <c r="F32" s="14">
        <f>COUNTIFS('Labeler 1'!$C$2:$C$181,"Consumer loan",'Labeler 2'!$C$2:$C$181,"Bank account or service")</f>
        <v>0</v>
      </c>
      <c r="G32" s="14">
        <f>COUNTIFS('Labeler 1'!$C$2:$C$181,"Consumer loan",'Labeler 2'!$C$2:$C$181,"Consumer loan")</f>
        <v>16</v>
      </c>
      <c r="H32" s="14">
        <f>COUNTIFS('Labeler 1'!$C$2:$C$181,"Consumer loan",'Labeler 2'!$C$2:$C$181,"Money transfer or service")</f>
        <v>1</v>
      </c>
    </row>
    <row r="33" spans="1:8" ht="15" customHeight="1" x14ac:dyDescent="0.25">
      <c r="A33" s="23" t="s">
        <v>25</v>
      </c>
      <c r="B33" s="14">
        <f>COUNTIFS('Labeler 1'!$C$2:$C$181,"Money transfer or service",'Labeler 2'!$C$2:$C$181,"Credit reporting")</f>
        <v>0</v>
      </c>
      <c r="C33" s="14">
        <f>COUNTIFS('Labeler 1'!$C$2:$C$181,"Money transfer or service",'Labeler 2'!$C$2:$C$181,"Debt collection")</f>
        <v>0</v>
      </c>
      <c r="D33" s="14">
        <f>COUNTIFS('Labeler 1'!$C$2:$C$181,"Money transfer or service",'Labeler 2'!$C$2:$C$181,"Mortgage")</f>
        <v>0</v>
      </c>
      <c r="E33" s="14">
        <f>COUNTIFS('Labeler 1'!$C$2:$C$181,"Money transfer or service",'Labeler 2'!$C$2:$C$181,"Credit card")</f>
        <v>0</v>
      </c>
      <c r="F33" s="14">
        <f>COUNTIFS('Labeler 1'!$C$2:$C$181,"Money transfer or service",'Labeler 2'!$C$2:$C$181,"Bank account or service")</f>
        <v>11</v>
      </c>
      <c r="G33" s="14">
        <f>COUNTIFS('Labeler 1'!$C$2:$C$181,"Money transfer or service",'Labeler 2'!$C$2:$C$181,"Consumer loan")</f>
        <v>1</v>
      </c>
      <c r="H33" s="14">
        <f>COUNTIFS('Labeler 1'!$C$2:$C$181,"Money transfer or service",'Labeler 2'!$C$2:$C$181,"Money transfer or service")</f>
        <v>21</v>
      </c>
    </row>
    <row r="34" spans="1:8" ht="15" customHeight="1" x14ac:dyDescent="0.25">
      <c r="A34" s="25" t="s">
        <v>405</v>
      </c>
      <c r="B34" s="19"/>
      <c r="C34" s="19"/>
      <c r="D34" s="19"/>
      <c r="E34" s="19"/>
      <c r="F34" s="19"/>
      <c r="G34" s="19"/>
      <c r="H34" s="19"/>
    </row>
  </sheetData>
  <mergeCells count="12">
    <mergeCell ref="B9:C9"/>
    <mergeCell ref="B4:C4"/>
    <mergeCell ref="B5:C5"/>
    <mergeCell ref="B6:C6"/>
    <mergeCell ref="B7:C7"/>
    <mergeCell ref="B8:C8"/>
    <mergeCell ref="B10:C10"/>
    <mergeCell ref="B11:C11"/>
    <mergeCell ref="D10:R10"/>
    <mergeCell ref="A25:H25"/>
    <mergeCell ref="A14:E14"/>
    <mergeCell ref="A23:E23"/>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26"/>
  <sheetViews>
    <sheetView showGridLines="0" zoomScale="85" zoomScaleNormal="85" workbookViewId="0">
      <pane xSplit="1" ySplit="4" topLeftCell="B5" activePane="bottomRight" state="frozen"/>
      <selection pane="topRight" activeCell="B1" sqref="B1"/>
      <selection pane="bottomLeft" activeCell="A5" sqref="A5"/>
      <selection pane="bottomRight" activeCell="G22" sqref="G22"/>
    </sheetView>
  </sheetViews>
  <sheetFormatPr defaultColWidth="8.7109375" defaultRowHeight="15" x14ac:dyDescent="0.25"/>
  <cols>
    <col min="1" max="1" width="9" customWidth="1"/>
    <col min="2" max="2" width="34" customWidth="1"/>
    <col min="3" max="3" width="20" customWidth="1"/>
    <col min="4" max="4" width="24" customWidth="1"/>
    <col min="5" max="5" width="20" customWidth="1"/>
    <col min="6" max="6" width="24.85546875" customWidth="1"/>
    <col min="7" max="7" width="22" customWidth="1"/>
    <col min="8" max="8" width="65.140625" customWidth="1"/>
    <col min="9" max="9" width="15.85546875" customWidth="1"/>
    <col min="10" max="10" width="16.140625" customWidth="1"/>
  </cols>
  <sheetData>
    <row r="1" spans="1:10" ht="15.75" customHeight="1" x14ac:dyDescent="0.25">
      <c r="A1" s="2" t="s">
        <v>406</v>
      </c>
    </row>
    <row r="2" spans="1:10" ht="15" customHeight="1" x14ac:dyDescent="0.25">
      <c r="A2" s="55" t="s">
        <v>407</v>
      </c>
      <c r="B2" s="55"/>
      <c r="C2" s="55"/>
      <c r="D2" s="55"/>
      <c r="E2" s="55"/>
      <c r="F2" s="55"/>
      <c r="G2" s="55"/>
      <c r="H2" s="55"/>
      <c r="I2" s="55"/>
      <c r="J2" s="55"/>
    </row>
    <row r="4" spans="1:10" ht="15" customHeight="1" x14ac:dyDescent="0.25">
      <c r="A4" s="17" t="s">
        <v>1</v>
      </c>
      <c r="B4" s="17" t="s">
        <v>408</v>
      </c>
      <c r="C4" s="17" t="s">
        <v>2</v>
      </c>
      <c r="D4" s="17" t="s">
        <v>409</v>
      </c>
      <c r="E4" s="17" t="s">
        <v>3</v>
      </c>
      <c r="F4" s="17" t="s">
        <v>410</v>
      </c>
      <c r="G4" s="17" t="s">
        <v>4</v>
      </c>
      <c r="H4" s="17" t="s">
        <v>411</v>
      </c>
      <c r="I4" s="17" t="s">
        <v>412</v>
      </c>
      <c r="J4" s="17" t="s">
        <v>413</v>
      </c>
    </row>
    <row r="5" spans="1:10" ht="42.75" x14ac:dyDescent="0.25">
      <c r="A5" s="9">
        <v>8095</v>
      </c>
      <c r="B5" s="9" t="s">
        <v>414</v>
      </c>
      <c r="C5" s="9" t="str">
        <f>INDEX('Labeler 1'!$C$2:$C$181,MATCH(A5,'Labeler 1'!$A$2:$A$181,0))</f>
        <v>Money transfer or service</v>
      </c>
      <c r="D5" s="9" t="str">
        <f>IF(INDEX('Labeler 1'!$D$2:$D$181,MATCH(A5,'Labeler 1'!$A$2:$A$181,0))="","",INDEX('Labeler 1'!$D$2:$D$181,MATCH(A5,'Labeler 1'!$A$2:$A$181,0)))</f>
        <v/>
      </c>
      <c r="E5" s="9" t="str">
        <f>INDEX('Labeler 2'!$C$2:$C$181,MATCH(A5,'Labeler 2'!$A$2:$A$181,0))</f>
        <v>Bank account or service</v>
      </c>
      <c r="F5" s="9" t="str">
        <f>IF(INDEX('Labeler 2'!$D$2:$D$181,MATCH(A5,'Labeler 2'!$A$2:$A$181,0))="","",INDEX('Labeler 2'!$D$2:$D$181,MATCH(A5,'Labeler 2'!$A$2:$A$181,0)))</f>
        <v/>
      </c>
      <c r="G5" s="27" t="s">
        <v>23</v>
      </c>
      <c r="H5" s="27" t="s">
        <v>424</v>
      </c>
      <c r="I5" s="27" t="s">
        <v>71</v>
      </c>
      <c r="J5" s="28" t="s">
        <v>416</v>
      </c>
    </row>
    <row r="6" spans="1:10" ht="42.75" x14ac:dyDescent="0.25">
      <c r="A6" s="9">
        <v>8096</v>
      </c>
      <c r="B6" s="9" t="s">
        <v>414</v>
      </c>
      <c r="C6" s="9" t="str">
        <f>INDEX('Labeler 1'!$C$2:$C$181,MATCH(A6,'Labeler 1'!$A$2:$A$181,0))</f>
        <v>Money transfer or service</v>
      </c>
      <c r="D6" s="9" t="str">
        <f>IF(INDEX('Labeler 1'!$D$2:$D$181,MATCH(A6,'Labeler 1'!$A$2:$A$181,0))="","",INDEX('Labeler 1'!$D$2:$D$181,MATCH(A6,'Labeler 1'!$A$2:$A$181,0)))</f>
        <v/>
      </c>
      <c r="E6" s="9" t="str">
        <f>INDEX('Labeler 2'!$C$2:$C$181,MATCH(A6,'Labeler 2'!$A$2:$A$181,0))</f>
        <v>Bank account or service</v>
      </c>
      <c r="F6" s="9" t="str">
        <f>IF(INDEX('Labeler 2'!$D$2:$D$181,MATCH(A6,'Labeler 2'!$A$2:$A$181,0))="","",INDEX('Labeler 2'!$D$2:$D$181,MATCH(A6,'Labeler 2'!$A$2:$A$181,0)))</f>
        <v>Chime account; narrator also mentions 'credit card'</v>
      </c>
      <c r="G6" s="27" t="s">
        <v>23</v>
      </c>
      <c r="H6" s="27" t="s">
        <v>419</v>
      </c>
      <c r="I6" s="27" t="s">
        <v>71</v>
      </c>
      <c r="J6" s="28" t="s">
        <v>416</v>
      </c>
    </row>
    <row r="7" spans="1:10" ht="71.25" x14ac:dyDescent="0.25">
      <c r="A7" s="9">
        <v>8108</v>
      </c>
      <c r="B7" s="9" t="s">
        <v>433</v>
      </c>
      <c r="C7" s="9" t="str">
        <f>INDEX('Labeler 1'!$C$2:$C$181,MATCH(A7,'Labeler 1'!$A$2:$A$181,0))</f>
        <v>Consumer loan</v>
      </c>
      <c r="D7" s="9" t="str">
        <f>IF(INDEX('Labeler 1'!$D$2:$D$181,MATCH(A7,'Labeler 1'!$A$2:$A$181,0))="","",INDEX('Labeler 1'!$D$2:$D$181,MATCH(A7,'Labeler 1'!$A$2:$A$181,0)))</f>
        <v>Loan type is not named; using Consumer loan as the standing generic-loan tie-break.</v>
      </c>
      <c r="E7" s="9" t="str">
        <f>INDEX('Labeler 2'!$C$2:$C$181,MATCH(A7,'Labeler 2'!$A$2:$A$181,0))</f>
        <v>Credit card</v>
      </c>
      <c r="F7" s="9" t="str">
        <f>IF(INDEX('Labeler 2'!$D$2:$D$181,MATCH(A7,'Labeler 2'!$A$2:$A$181,0))="","",INDEX('Labeler 2'!$D$2:$D$181,MATCH(A7,'Labeler 2'!$A$2:$A$181,0)))</f>
        <v>Citibank; 'loan department' mentioned but minimum payment/late fees indicate card</v>
      </c>
      <c r="G7" s="27" t="s">
        <v>24</v>
      </c>
      <c r="H7" s="27" t="s">
        <v>435</v>
      </c>
      <c r="I7" s="27" t="s">
        <v>71</v>
      </c>
      <c r="J7" s="28">
        <v>6</v>
      </c>
    </row>
    <row r="8" spans="1:10" ht="71.25" x14ac:dyDescent="0.25">
      <c r="A8" s="9">
        <v>8264</v>
      </c>
      <c r="B8" s="9" t="s">
        <v>414</v>
      </c>
      <c r="C8" s="9" t="str">
        <f>INDEX('Labeler 1'!$C$2:$C$181,MATCH(A8,'Labeler 1'!$A$2:$A$181,0))</f>
        <v>Money transfer or service</v>
      </c>
      <c r="D8" s="9" t="str">
        <f>IF(INDEX('Labeler 1'!$D$2:$D$181,MATCH(A8,'Labeler 1'!$A$2:$A$181,0))="","",INDEX('Labeler 1'!$D$2:$D$181,MATCH(A8,'Labeler 1'!$A$2:$A$181,0)))</f>
        <v/>
      </c>
      <c r="E8" s="9" t="str">
        <f>INDEX('Labeler 2'!$C$2:$C$181,MATCH(A8,'Labeler 2'!$A$2:$A$181,0))</f>
        <v>Bank account or service</v>
      </c>
      <c r="F8" s="9" t="str">
        <f>IF(INDEX('Labeler 2'!$D$2:$D$181,MATCH(A8,'Labeler 2'!$A$2:$A$181,0))="","",INDEX('Labeler 2'!$D$2:$D$181,MATCH(A8,'Labeler 2'!$A$2:$A$181,0)))</f>
        <v/>
      </c>
      <c r="G8" s="27" t="s">
        <v>23</v>
      </c>
      <c r="H8" s="27" t="s">
        <v>423</v>
      </c>
      <c r="I8" s="27" t="s">
        <v>71</v>
      </c>
      <c r="J8" s="28" t="s">
        <v>416</v>
      </c>
    </row>
    <row r="9" spans="1:10" ht="42.75" x14ac:dyDescent="0.25">
      <c r="A9" s="9">
        <v>8284</v>
      </c>
      <c r="B9" s="9" t="s">
        <v>425</v>
      </c>
      <c r="C9" s="9" t="str">
        <f>INDEX('Labeler 1'!$C$2:$C$181,MATCH(A9,'Labeler 1'!$A$2:$A$181,0))</f>
        <v>Money transfer or service</v>
      </c>
      <c r="D9" s="9" t="str">
        <f>IF(INDEX('Labeler 1'!$D$2:$D$181,MATCH(A9,'Labeler 1'!$A$2:$A$181,0))="","",INDEX('Labeler 1'!$D$2:$D$181,MATCH(A9,'Labeler 1'!$A$2:$A$181,0)))</f>
        <v/>
      </c>
      <c r="E9" s="9" t="str">
        <f>INDEX('Labeler 2'!$C$2:$C$181,MATCH(A9,'Labeler 2'!$A$2:$A$181,0))</f>
        <v>Bank account or service</v>
      </c>
      <c r="F9" s="9" t="str">
        <f>IF(INDEX('Labeler 2'!$D$2:$D$181,MATCH(A9,'Labeler 2'!$A$2:$A$181,0))="","",INDEX('Labeler 2'!$D$2:$D$181,MATCH(A9,'Labeler 2'!$A$2:$A$181,0)))</f>
        <v>Crypto exchange (Coinbase) account lock - no category fits, forced</v>
      </c>
      <c r="G9" s="27" t="s">
        <v>25</v>
      </c>
      <c r="H9" s="27" t="s">
        <v>426</v>
      </c>
      <c r="I9" s="27" t="s">
        <v>71</v>
      </c>
      <c r="J9" s="28">
        <v>3</v>
      </c>
    </row>
    <row r="10" spans="1:10" ht="71.25" x14ac:dyDescent="0.25">
      <c r="A10" s="9">
        <v>8323</v>
      </c>
      <c r="B10" s="9" t="s">
        <v>436</v>
      </c>
      <c r="C10" s="9" t="str">
        <f>INDEX('Labeler 1'!$C$2:$C$181,MATCH(A10,'Labeler 1'!$A$2:$A$181,0))</f>
        <v>Consumer loan</v>
      </c>
      <c r="D10" s="9" t="str">
        <f>IF(INDEX('Labeler 1'!$D$2:$D$181,MATCH(A10,'Labeler 1'!$A$2:$A$181,0))="","",INDEX('Labeler 1'!$D$2:$D$181,MATCH(A10,'Labeler 1'!$A$2:$A$181,0)))</f>
        <v/>
      </c>
      <c r="E10" s="9" t="str">
        <f>INDEX('Labeler 2'!$C$2:$C$181,MATCH(A10,'Labeler 2'!$A$2:$A$181,0))</f>
        <v>Credit card</v>
      </c>
      <c r="F10" s="9" t="str">
        <f>IF(INDEX('Labeler 2'!$D$2:$D$181,MATCH(A10,'Labeler 2'!$A$2:$A$181,0))="","",INDEX('Labeler 2'!$D$2:$D$181,MATCH(A10,'Labeler 2'!$A$2:$A$181,0)))</f>
        <v>Yard Card via TD - revolving store card; CL plausible</v>
      </c>
      <c r="G10" s="27" t="s">
        <v>22</v>
      </c>
      <c r="H10" s="27" t="s">
        <v>437</v>
      </c>
      <c r="I10" s="27" t="s">
        <v>71</v>
      </c>
      <c r="J10" s="28">
        <v>7</v>
      </c>
    </row>
    <row r="11" spans="1:10" ht="99.75" x14ac:dyDescent="0.25">
      <c r="A11" s="9">
        <v>8333</v>
      </c>
      <c r="B11" s="9" t="s">
        <v>433</v>
      </c>
      <c r="C11" s="9" t="str">
        <f>INDEX('Labeler 1'!$C$2:$C$181,MATCH(A11,'Labeler 1'!$A$2:$A$181,0))</f>
        <v>Consumer loan</v>
      </c>
      <c r="D11" s="9" t="str">
        <f>IF(INDEX('Labeler 1'!$D$2:$D$181,MATCH(A11,'Labeler 1'!$A$2:$A$181,0))="","",INDEX('Labeler 1'!$D$2:$D$181,MATCH(A11,'Labeler 1'!$A$2:$A$181,0)))</f>
        <v>Loan type is not named; using Consumer loan as the standing generic-loan tie-break. The complaint is not specifically about a mortgage.</v>
      </c>
      <c r="E11" s="9" t="str">
        <f>INDEX('Labeler 2'!$C$2:$C$181,MATCH(A11,'Labeler 2'!$A$2:$A$181,0))</f>
        <v>Mortgage</v>
      </c>
      <c r="F11" s="9" t="str">
        <f>IF(INDEX('Labeler 2'!$D$2:$D$181,MATCH(A11,'Labeler 2'!$A$2:$A$181,0))="","",INDEX('Labeler 2'!$D$2:$D$181,MATCH(A11,'Labeler 2'!$A$2:$A$181,0)))</f>
        <v>Loan type not stated; 'servicer' + Wells Fargo suggests mortgage - forced</v>
      </c>
      <c r="G11" s="27" t="s">
        <v>24</v>
      </c>
      <c r="H11" s="27" t="s">
        <v>434</v>
      </c>
      <c r="I11" s="27" t="s">
        <v>71</v>
      </c>
      <c r="J11" s="28">
        <v>6</v>
      </c>
    </row>
    <row r="12" spans="1:10" ht="57" x14ac:dyDescent="0.25">
      <c r="A12" s="9">
        <v>8335</v>
      </c>
      <c r="B12" s="9" t="s">
        <v>414</v>
      </c>
      <c r="C12" s="9" t="str">
        <f>INDEX('Labeler 1'!$C$2:$C$181,MATCH(A12,'Labeler 1'!$A$2:$A$181,0))</f>
        <v>Money transfer or service</v>
      </c>
      <c r="D12" s="9" t="str">
        <f>IF(INDEX('Labeler 1'!$D$2:$D$181,MATCH(A12,'Labeler 1'!$A$2:$A$181,0))="","",INDEX('Labeler 1'!$D$2:$D$181,MATCH(A12,'Labeler 1'!$A$2:$A$181,0)))</f>
        <v/>
      </c>
      <c r="E12" s="9" t="str">
        <f>INDEX('Labeler 2'!$C$2:$C$181,MATCH(A12,'Labeler 2'!$A$2:$A$181,0))</f>
        <v>Bank account or service</v>
      </c>
      <c r="F12" s="9" t="str">
        <f>IF(INDEX('Labeler 2'!$D$2:$D$181,MATCH(A12,'Labeler 2'!$A$2:$A$181,0))="","",INDEX('Labeler 2'!$D$2:$D$181,MATCH(A12,'Labeler 2'!$A$2:$A$181,0)))</f>
        <v>Card charges + transfer; institution/product vague</v>
      </c>
      <c r="G12" s="27" t="s">
        <v>23</v>
      </c>
      <c r="H12" s="27" t="s">
        <v>422</v>
      </c>
      <c r="I12" s="27" t="s">
        <v>71</v>
      </c>
      <c r="J12" s="28" t="s">
        <v>416</v>
      </c>
    </row>
    <row r="13" spans="1:10" ht="99.75" x14ac:dyDescent="0.25">
      <c r="A13" s="9">
        <v>8339</v>
      </c>
      <c r="B13" s="9" t="s">
        <v>439</v>
      </c>
      <c r="C13" s="9" t="str">
        <f>INDEX('Labeler 1'!$C$2:$C$181,MATCH(A13,'Labeler 1'!$A$2:$A$181,0))</f>
        <v>Consumer loan</v>
      </c>
      <c r="D13" s="9" t="str">
        <f>IF(INDEX('Labeler 1'!$D$2:$D$181,MATCH(A13,'Labeler 1'!$A$2:$A$181,0))="","",INDEX('Labeler 1'!$D$2:$D$181,MATCH(A13,'Labeler 1'!$A$2:$A$181,0)))</f>
        <v>The complaint concerns a fraudulent loan taken out in the consumer's name; the credit-score impact is secondary, so Consumer loan applies.</v>
      </c>
      <c r="E13" s="9" t="str">
        <f>INDEX('Labeler 2'!$C$2:$C$181,MATCH(A13,'Labeler 2'!$A$2:$A$181,0))</f>
        <v>Credit reporting</v>
      </c>
      <c r="F13" s="9" t="str">
        <f>IF(INDEX('Labeler 2'!$D$2:$D$181,MATCH(A13,'Labeler 2'!$A$2:$A$181,0))="","",INDEX('Labeler 2'!$D$2:$D$181,MATCH(A13,'Labeler 2'!$A$2:$A$181,0)))</f>
        <v/>
      </c>
      <c r="G13" s="27" t="s">
        <v>24</v>
      </c>
      <c r="H13" s="27" t="s">
        <v>441</v>
      </c>
      <c r="I13" s="27" t="s">
        <v>71</v>
      </c>
      <c r="J13" s="28">
        <v>8</v>
      </c>
    </row>
    <row r="14" spans="1:10" ht="28.5" x14ac:dyDescent="0.25">
      <c r="A14" s="9">
        <v>8342</v>
      </c>
      <c r="B14" s="9" t="s">
        <v>414</v>
      </c>
      <c r="C14" s="9" t="str">
        <f>INDEX('Labeler 1'!$C$2:$C$181,MATCH(A14,'Labeler 1'!$A$2:$A$181,0))</f>
        <v>Money transfer or service</v>
      </c>
      <c r="D14" s="9" t="str">
        <f>IF(INDEX('Labeler 1'!$D$2:$D$181,MATCH(A14,'Labeler 1'!$A$2:$A$181,0))="","",INDEX('Labeler 1'!$D$2:$D$181,MATCH(A14,'Labeler 1'!$A$2:$A$181,0)))</f>
        <v/>
      </c>
      <c r="E14" s="9" t="str">
        <f>INDEX('Labeler 2'!$C$2:$C$181,MATCH(A14,'Labeler 2'!$A$2:$A$181,0))</f>
        <v>Bank account or service</v>
      </c>
      <c r="F14" s="9" t="str">
        <f>IF(INDEX('Labeler 2'!$D$2:$D$181,MATCH(A14,'Labeler 2'!$A$2:$A$181,0))="","",INDEX('Labeler 2'!$D$2:$D$181,MATCH(A14,'Labeler 2'!$A$2:$A$181,0)))</f>
        <v>Chime debit card unauthorized charges</v>
      </c>
      <c r="G14" s="27" t="s">
        <v>23</v>
      </c>
      <c r="H14" s="27" t="s">
        <v>421</v>
      </c>
      <c r="I14" s="27" t="s">
        <v>71</v>
      </c>
      <c r="J14" s="28" t="s">
        <v>416</v>
      </c>
    </row>
    <row r="15" spans="1:10" ht="71.25" x14ac:dyDescent="0.25">
      <c r="A15" s="9">
        <v>8345</v>
      </c>
      <c r="B15" s="9" t="s">
        <v>425</v>
      </c>
      <c r="C15" s="9" t="str">
        <f>INDEX('Labeler 1'!$C$2:$C$181,MATCH(A15,'Labeler 1'!$A$2:$A$181,0))</f>
        <v>Money transfer or service</v>
      </c>
      <c r="D15" s="9" t="str">
        <f>IF(INDEX('Labeler 1'!$D$2:$D$181,MATCH(A15,'Labeler 1'!$A$2:$A$181,0))="","",INDEX('Labeler 1'!$D$2:$D$181,MATCH(A15,'Labeler 1'!$A$2:$A$181,0)))</f>
        <v>Crypto-platform account access is outside the seven named scopes; Money transfer or service is the closest fit.</v>
      </c>
      <c r="E15" s="9" t="str">
        <f>INDEX('Labeler 2'!$C$2:$C$181,MATCH(A15,'Labeler 2'!$A$2:$A$181,0))</f>
        <v>Bank account or service</v>
      </c>
      <c r="F15" s="9" t="str">
        <f>IF(INDEX('Labeler 2'!$D$2:$D$181,MATCH(A15,'Labeler 2'!$A$2:$A$181,0))="","",INDEX('Labeler 2'!$D$2:$D$181,MATCH(A15,'Labeler 2'!$A$2:$A$181,0)))</f>
        <v>Crypto exchange (Coinbase) account lock - no category fits, forced</v>
      </c>
      <c r="G15" s="27" t="s">
        <v>25</v>
      </c>
      <c r="H15" s="27" t="s">
        <v>426</v>
      </c>
      <c r="I15" s="27" t="s">
        <v>71</v>
      </c>
      <c r="J15" s="28">
        <v>3</v>
      </c>
    </row>
    <row r="16" spans="1:10" ht="114" x14ac:dyDescent="0.25">
      <c r="A16" s="9">
        <v>8392</v>
      </c>
      <c r="B16" s="9" t="s">
        <v>436</v>
      </c>
      <c r="C16" s="9" t="str">
        <f>INDEX('Labeler 1'!$C$2:$C$181,MATCH(A16,'Labeler 1'!$A$2:$A$181,0))</f>
        <v>Consumer loan</v>
      </c>
      <c r="D16" s="9" t="str">
        <f>IF(INDEX('Labeler 1'!$D$2:$D$181,MATCH(A16,'Labeler 1'!$A$2:$A$181,0))="","",INDEX('Labeler 1'!$D$2:$D$181,MATCH(A16,'Labeler 1'!$A$2:$A$181,0)))</f>
        <v>PayPal Pay Later/financing is the substantive product; the payment/charge mechanics are incidental, so Consumer loan applies.</v>
      </c>
      <c r="E16" s="9" t="str">
        <f>INDEX('Labeler 2'!$C$2:$C$181,MATCH(A16,'Labeler 2'!$A$2:$A$181,0))</f>
        <v>Money transfer or service</v>
      </c>
      <c r="F16" s="9" t="str">
        <f>IF(INDEX('Labeler 2'!$D$2:$D$181,MATCH(A16,'Labeler 2'!$A$2:$A$181,0))="","",INDEX('Labeler 2'!$D$2:$D$181,MATCH(A16,'Labeler 2'!$A$2:$A$181,0)))</f>
        <v>PayPal Pay Later financing + unauthorized split charges; CL plausible</v>
      </c>
      <c r="G16" s="27" t="s">
        <v>25</v>
      </c>
      <c r="H16" s="27" t="s">
        <v>438</v>
      </c>
      <c r="I16" s="27" t="s">
        <v>71</v>
      </c>
      <c r="J16" s="28">
        <v>7</v>
      </c>
    </row>
    <row r="17" spans="1:10" ht="57" x14ac:dyDescent="0.25">
      <c r="A17" s="9">
        <v>8444</v>
      </c>
      <c r="B17" s="9" t="s">
        <v>414</v>
      </c>
      <c r="C17" s="9" t="str">
        <f>INDEX('Labeler 1'!$C$2:$C$181,MATCH(A17,'Labeler 1'!$A$2:$A$181,0))</f>
        <v>Money transfer or service</v>
      </c>
      <c r="D17" s="9" t="str">
        <f>IF(INDEX('Labeler 1'!$D$2:$D$181,MATCH(A17,'Labeler 1'!$A$2:$A$181,0))="","",INDEX('Labeler 1'!$D$2:$D$181,MATCH(A17,'Labeler 1'!$A$2:$A$181,0)))</f>
        <v/>
      </c>
      <c r="E17" s="9" t="str">
        <f>INDEX('Labeler 2'!$C$2:$C$181,MATCH(A17,'Labeler 2'!$A$2:$A$181,0))</f>
        <v>Bank account or service</v>
      </c>
      <c r="F17" s="9" t="str">
        <f>IF(INDEX('Labeler 2'!$D$2:$D$181,MATCH(A17,'Labeler 2'!$A$2:$A$181,0))="","",INDEX('Labeler 2'!$D$2:$D$181,MATCH(A17,'Labeler 2'!$A$2:$A$181,0)))</f>
        <v>Unauthorized transfer from stolen phone; MT plausible</v>
      </c>
      <c r="G17" s="27" t="s">
        <v>23</v>
      </c>
      <c r="H17" s="27" t="s">
        <v>418</v>
      </c>
      <c r="I17" s="27" t="s">
        <v>71</v>
      </c>
      <c r="J17" s="28" t="s">
        <v>416</v>
      </c>
    </row>
    <row r="18" spans="1:10" ht="57" x14ac:dyDescent="0.25">
      <c r="A18" s="9">
        <v>8455</v>
      </c>
      <c r="B18" s="9" t="s">
        <v>414</v>
      </c>
      <c r="C18" s="9" t="str">
        <f>INDEX('Labeler 1'!$C$2:$C$181,MATCH(A18,'Labeler 1'!$A$2:$A$181,0))</f>
        <v>Money transfer or service</v>
      </c>
      <c r="D18" s="9" t="str">
        <f>IF(INDEX('Labeler 1'!$D$2:$D$181,MATCH(A18,'Labeler 1'!$A$2:$A$181,0))="","",INDEX('Labeler 1'!$D$2:$D$181,MATCH(A18,'Labeler 1'!$A$2:$A$181,0)))</f>
        <v/>
      </c>
      <c r="E18" s="9" t="str">
        <f>INDEX('Labeler 2'!$C$2:$C$181,MATCH(A18,'Labeler 2'!$A$2:$A$181,0))</f>
        <v>Bank account or service</v>
      </c>
      <c r="F18" s="9" t="str">
        <f>IF(INDEX('Labeler 2'!$D$2:$D$181,MATCH(A18,'Labeler 2'!$A$2:$A$181,0))="","",INDEX('Labeler 2'!$D$2:$D$181,MATCH(A18,'Labeler 2'!$A$2:$A$181,0)))</f>
        <v>Cash App card stolen; provisional credit issue. MT plausible</v>
      </c>
      <c r="G18" s="27" t="s">
        <v>25</v>
      </c>
      <c r="H18" s="27" t="s">
        <v>420</v>
      </c>
      <c r="I18" s="27" t="s">
        <v>71</v>
      </c>
      <c r="J18" s="28">
        <v>3</v>
      </c>
    </row>
    <row r="19" spans="1:10" ht="57" x14ac:dyDescent="0.25">
      <c r="A19" s="9">
        <v>8472</v>
      </c>
      <c r="B19" s="9" t="s">
        <v>414</v>
      </c>
      <c r="C19" s="9" t="str">
        <f>INDEX('Labeler 1'!$C$2:$C$181,MATCH(A19,'Labeler 1'!$A$2:$A$181,0))</f>
        <v>Money transfer or service</v>
      </c>
      <c r="D19" s="9" t="str">
        <f>IF(INDEX('Labeler 1'!$D$2:$D$181,MATCH(A19,'Labeler 1'!$A$2:$A$181,0))="","",INDEX('Labeler 1'!$D$2:$D$181,MATCH(A19,'Labeler 1'!$A$2:$A$181,0)))</f>
        <v/>
      </c>
      <c r="E19" s="9" t="str">
        <f>INDEX('Labeler 2'!$C$2:$C$181,MATCH(A19,'Labeler 2'!$A$2:$A$181,0))</f>
        <v>Bank account or service</v>
      </c>
      <c r="F19" s="9" t="str">
        <f>IF(INDEX('Labeler 2'!$D$2:$D$181,MATCH(A19,'Labeler 2'!$A$2:$A$181,0))="","",INDEX('Labeler 2'!$D$2:$D$181,MATCH(A19,'Labeler 2'!$A$2:$A$181,0)))</f>
        <v>Chime malware/card compromise; could read as MT but account access is the core</v>
      </c>
      <c r="G19" s="27" t="s">
        <v>23</v>
      </c>
      <c r="H19" s="27" t="s">
        <v>415</v>
      </c>
      <c r="I19" s="27" t="s">
        <v>71</v>
      </c>
      <c r="J19" s="28" t="s">
        <v>416</v>
      </c>
    </row>
    <row r="20" spans="1:10" ht="57" x14ac:dyDescent="0.25">
      <c r="A20" s="9">
        <v>8505</v>
      </c>
      <c r="B20" s="9" t="s">
        <v>427</v>
      </c>
      <c r="C20" s="9" t="str">
        <f>INDEX('Labeler 1'!$C$2:$C$181,MATCH(A20,'Labeler 1'!$A$2:$A$181,0))</f>
        <v>Credit reporting</v>
      </c>
      <c r="D20" s="9" t="str">
        <f>IF(INDEX('Labeler 1'!$D$2:$D$181,MATCH(A20,'Labeler 1'!$A$2:$A$181,0))="","",INDEX('Labeler 1'!$D$2:$D$181,MATCH(A20,'Labeler 1'!$A$2:$A$181,0)))</f>
        <v/>
      </c>
      <c r="E20" s="9" t="str">
        <f>INDEX('Labeler 2'!$C$2:$C$181,MATCH(A20,'Labeler 2'!$A$2:$A$181,0))</f>
        <v>Debt collection</v>
      </c>
      <c r="F20" s="9" t="str">
        <f>IF(INDEX('Labeler 2'!$D$2:$D$181,MATCH(A20,'Labeler 2'!$A$2:$A$181,0))="","",INDEX('Labeler 2'!$D$2:$D$181,MATCH(A20,'Labeler 2'!$A$2:$A$181,0)))</f>
        <v/>
      </c>
      <c r="G20" s="27" t="s">
        <v>20</v>
      </c>
      <c r="H20" s="27" t="s">
        <v>432</v>
      </c>
      <c r="I20" s="27" t="s">
        <v>71</v>
      </c>
      <c r="J20" s="28">
        <v>4</v>
      </c>
    </row>
    <row r="21" spans="1:10" ht="57" x14ac:dyDescent="0.25">
      <c r="A21" s="9">
        <v>8539</v>
      </c>
      <c r="B21" s="9" t="s">
        <v>414</v>
      </c>
      <c r="C21" s="9" t="str">
        <f>INDEX('Labeler 1'!$C$2:$C$181,MATCH(A21,'Labeler 1'!$A$2:$A$181,0))</f>
        <v>Money transfer or service</v>
      </c>
      <c r="D21" s="9" t="str">
        <f>IF(INDEX('Labeler 1'!$D$2:$D$181,MATCH(A21,'Labeler 1'!$A$2:$A$181,0))="","",INDEX('Labeler 1'!$D$2:$D$181,MATCH(A21,'Labeler 1'!$A$2:$A$181,0)))</f>
        <v/>
      </c>
      <c r="E21" s="9" t="str">
        <f>INDEX('Labeler 2'!$C$2:$C$181,MATCH(A21,'Labeler 2'!$A$2:$A$181,0))</f>
        <v>Bank account or service</v>
      </c>
      <c r="F21" s="9" t="str">
        <f>IF(INDEX('Labeler 2'!$D$2:$D$181,MATCH(A21,'Labeler 2'!$A$2:$A$181,0))="","",INDEX('Labeler 2'!$D$2:$D$181,MATCH(A21,'Labeler 2'!$A$2:$A$181,0)))</f>
        <v>Checks between banks involved, but account lock is the main complaint</v>
      </c>
      <c r="G21" s="27" t="s">
        <v>23</v>
      </c>
      <c r="H21" s="27" t="s">
        <v>417</v>
      </c>
      <c r="I21" s="27" t="s">
        <v>71</v>
      </c>
      <c r="J21" s="28" t="s">
        <v>416</v>
      </c>
    </row>
    <row r="22" spans="1:10" ht="156.75" x14ac:dyDescent="0.25">
      <c r="A22" s="9">
        <v>8571</v>
      </c>
      <c r="B22" s="9" t="s">
        <v>439</v>
      </c>
      <c r="C22" s="9" t="str">
        <f>INDEX('Labeler 1'!$C$2:$C$181,MATCH(A22,'Labeler 1'!$A$2:$A$181,0))</f>
        <v>Money transfer or service</v>
      </c>
      <c r="D22" s="9" t="str">
        <f>IF(INDEX('Labeler 1'!$D$2:$D$181,MATCH(A22,'Labeler 1'!$A$2:$A$181,0))="","",INDEX('Labeler 1'!$D$2:$D$181,MATCH(A22,'Labeler 1'!$A$2:$A$181,0)))</f>
        <v>Both a payday loan provider and a checking-account debit are mentioned, but the complaint is about unauthorized funds being pulled from the account; the funds-movement rule points to Money transfer or service.</v>
      </c>
      <c r="E22" s="9" t="str">
        <f>INDEX('Labeler 2'!$C$2:$C$181,MATCH(A22,'Labeler 2'!$A$2:$A$181,0))</f>
        <v>Consumer loan</v>
      </c>
      <c r="F22" s="9" t="str">
        <f>IF(INDEX('Labeler 2'!$D$2:$D$181,MATCH(A22,'Labeler 2'!$A$2:$A$181,0))="","",INDEX('Labeler 2'!$D$2:$D$181,MATCH(A22,'Labeler 2'!$A$2:$A$181,0)))</f>
        <v>No loan exists; payday lender debited checking fraudulently. CL per loan-via-account rule; BA plausible.</v>
      </c>
      <c r="G22" s="27" t="s">
        <v>23</v>
      </c>
      <c r="H22" s="27" t="s">
        <v>440</v>
      </c>
      <c r="I22" s="27" t="s">
        <v>71</v>
      </c>
      <c r="J22" s="28">
        <v>8</v>
      </c>
    </row>
    <row r="23" spans="1:10" ht="114" x14ac:dyDescent="0.25">
      <c r="A23" s="9">
        <v>8663</v>
      </c>
      <c r="B23" s="9" t="s">
        <v>427</v>
      </c>
      <c r="C23" s="9" t="str">
        <f>INDEX('Labeler 1'!$C$2:$C$181,MATCH(A23,'Labeler 1'!$A$2:$A$181,0))</f>
        <v>Credit reporting</v>
      </c>
      <c r="D23" s="9" t="str">
        <f>IF(INDEX('Labeler 1'!$D$2:$D$181,MATCH(A23,'Labeler 1'!$A$2:$A$181,0))="","",INDEX('Labeler 1'!$D$2:$D$181,MATCH(A23,'Labeler 1'!$A$2:$A$181,0)))</f>
        <v>Both collection and reporting language appear, but the main complaint is the derogatory tradeline appearing on the credit report and its accuracy/validation.</v>
      </c>
      <c r="E23" s="9" t="str">
        <f>INDEX('Labeler 2'!$C$2:$C$181,MATCH(A23,'Labeler 2'!$A$2:$A$181,0))</f>
        <v>Debt collection</v>
      </c>
      <c r="F23" s="9" t="str">
        <f>IF(INDEX('Labeler 2'!$D$2:$D$181,MATCH(A23,'Labeler 2'!$A$2:$A$181,0))="","",INDEX('Labeler 2'!$D$2:$D$181,MATCH(A23,'Labeler 2'!$A$2:$A$181,0)))</f>
        <v>Mixed: derogatory tradeline + no validation notice; statutory collection-process complaint dominates, CR plausible</v>
      </c>
      <c r="G23" s="27" t="s">
        <v>19</v>
      </c>
      <c r="H23" s="27" t="s">
        <v>431</v>
      </c>
      <c r="I23" s="27" t="s">
        <v>71</v>
      </c>
      <c r="J23" s="28">
        <v>4</v>
      </c>
    </row>
    <row r="24" spans="1:10" ht="242.25" x14ac:dyDescent="0.25">
      <c r="A24" s="9">
        <v>8850</v>
      </c>
      <c r="B24" s="9" t="s">
        <v>427</v>
      </c>
      <c r="C24" s="9" t="str">
        <f>INDEX('Labeler 1'!$C$2:$C$181,MATCH(A24,'Labeler 1'!$A$2:$A$181,0))</f>
        <v>Credit reporting</v>
      </c>
      <c r="D24" s="9" t="str">
        <f>IF(INDEX('Labeler 1'!$D$2:$D$181,MATCH(A24,'Labeler 1'!$A$2:$A$181,0))="","",INDEX('Labeler 1'!$D$2:$D$181,MATCH(A24,'Labeler 1'!$A$2:$A$181,0)))</f>
        <v>Both collection and reporting language appear, but the question is specifically about when a debt collector may report; reporting is the subject.</v>
      </c>
      <c r="E24" s="9" t="str">
        <f>INDEX('Labeler 2'!$C$2:$C$181,MATCH(A24,'Labeler 2'!$A$2:$A$181,0))</f>
        <v>Debt collection</v>
      </c>
      <c r="F24" s="9" t="str">
        <f>IF(INDEX('Labeler 2'!$D$2:$D$181,MATCH(A24,'Labeler 2'!$A$2:$A$181,0))="","",INDEX('Labeler 2'!$D$2:$D$181,MATCH(A24,'Labeler 2'!$A$2:$A$181,0)))</f>
        <v>Narrative is CFPB boilerplate text, no actual grievance - forced fit</v>
      </c>
      <c r="G24" s="27" t="s">
        <v>20</v>
      </c>
      <c r="H24" s="27" t="s">
        <v>428</v>
      </c>
      <c r="I24" s="27" t="s">
        <v>429</v>
      </c>
      <c r="J24" s="28" t="s">
        <v>430</v>
      </c>
    </row>
    <row r="26" spans="1:10" ht="15" customHeight="1" x14ac:dyDescent="0.25">
      <c r="A26" s="4" t="s">
        <v>442</v>
      </c>
      <c r="C26" s="3" t="str">
        <f>COUNTA(G5:G24)&amp;" of "&amp;COUNTA(A5:A24)</f>
        <v>20 of 20</v>
      </c>
    </row>
  </sheetData>
  <autoFilter ref="A4:J4" xr:uid="{00000000-0001-0000-0700-000000000000}">
    <sortState xmlns:xlrd2="http://schemas.microsoft.com/office/spreadsheetml/2017/richdata2" ref="A5:J24">
      <sortCondition ref="A4"/>
    </sortState>
  </autoFilter>
  <mergeCells count="1">
    <mergeCell ref="A2:J2"/>
  </mergeCells>
  <dataValidations count="2">
    <dataValidation type="list" allowBlank="1" sqref="G5:G24" xr:uid="{00000000-0002-0000-0700-000000000000}">
      <formula1>"Credit reporting,Debt collection,Mortgage,Credit card,Bank account or service,Consumer loan,Money transfer or service"</formula1>
      <formula2>0</formula2>
    </dataValidation>
    <dataValidation type="list" allowBlank="1" sqref="I5:I24" xr:uid="{00000000-0002-0000-0700-000001000000}">
      <formula1>"Yes,No"</formula1>
      <formula2>0</formula2>
    </dataValidation>
  </dataValidation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4"/>
  <sheetViews>
    <sheetView showGridLines="0" zoomScale="85" zoomScaleNormal="85" workbookViewId="0">
      <selection activeCell="H6" sqref="H6"/>
    </sheetView>
  </sheetViews>
  <sheetFormatPr defaultColWidth="8.7109375" defaultRowHeight="15" x14ac:dyDescent="0.25"/>
  <cols>
    <col min="1" max="1" width="7" customWidth="1"/>
    <col min="2" max="2" width="22" customWidth="1"/>
    <col min="3" max="3" width="70" customWidth="1"/>
    <col min="4" max="4" width="28" customWidth="1"/>
  </cols>
  <sheetData>
    <row r="1" spans="1:4" ht="15.75" customHeight="1" x14ac:dyDescent="0.25">
      <c r="A1" s="2" t="s">
        <v>61</v>
      </c>
    </row>
    <row r="2" spans="1:4" ht="15" customHeight="1" x14ac:dyDescent="0.25">
      <c r="A2" s="18" t="s">
        <v>509</v>
      </c>
    </row>
    <row r="4" spans="1:4" ht="15" customHeight="1" x14ac:dyDescent="0.25">
      <c r="A4" s="17" t="s">
        <v>62</v>
      </c>
      <c r="B4" s="17" t="s">
        <v>63</v>
      </c>
      <c r="C4" s="17" t="s">
        <v>64</v>
      </c>
      <c r="D4" s="17" t="s">
        <v>65</v>
      </c>
    </row>
    <row r="5" spans="1:4" ht="44.25" customHeight="1" x14ac:dyDescent="0.25">
      <c r="A5" s="9">
        <v>1</v>
      </c>
      <c r="B5" s="9" t="s">
        <v>66</v>
      </c>
      <c r="C5" s="9" t="s">
        <v>67</v>
      </c>
      <c r="D5" s="9" t="s">
        <v>68</v>
      </c>
    </row>
    <row r="6" spans="1:4" ht="139.5" customHeight="1" x14ac:dyDescent="0.25">
      <c r="A6" s="9">
        <v>2</v>
      </c>
      <c r="B6" s="9" t="s">
        <v>66</v>
      </c>
      <c r="C6" s="9" t="s">
        <v>69</v>
      </c>
      <c r="D6" s="9" t="s">
        <v>70</v>
      </c>
    </row>
    <row r="7" spans="1:4" ht="169.5" customHeight="1" x14ac:dyDescent="0.25">
      <c r="A7" s="9">
        <v>3</v>
      </c>
      <c r="B7" s="9" t="s">
        <v>66</v>
      </c>
      <c r="C7" s="9" t="s">
        <v>72</v>
      </c>
      <c r="D7" s="9" t="s">
        <v>73</v>
      </c>
    </row>
    <row r="8" spans="1:4" ht="159.75" customHeight="1" x14ac:dyDescent="0.25">
      <c r="A8" s="9">
        <v>4</v>
      </c>
      <c r="B8" s="9" t="s">
        <v>66</v>
      </c>
      <c r="C8" s="9" t="s">
        <v>74</v>
      </c>
      <c r="D8" s="9" t="s">
        <v>75</v>
      </c>
    </row>
    <row r="9" spans="1:4" ht="120" customHeight="1" x14ac:dyDescent="0.25">
      <c r="A9" s="9">
        <v>5</v>
      </c>
      <c r="B9" s="9" t="s">
        <v>66</v>
      </c>
      <c r="C9" s="9" t="s">
        <v>76</v>
      </c>
      <c r="D9" s="9" t="s">
        <v>77</v>
      </c>
    </row>
    <row r="10" spans="1:4" ht="129.75" customHeight="1" x14ac:dyDescent="0.25">
      <c r="A10" s="9">
        <v>6</v>
      </c>
      <c r="B10" s="9" t="s">
        <v>66</v>
      </c>
      <c r="C10" s="9" t="s">
        <v>78</v>
      </c>
      <c r="D10" s="9" t="s">
        <v>79</v>
      </c>
    </row>
    <row r="11" spans="1:4" ht="185.25" x14ac:dyDescent="0.25">
      <c r="A11" s="9">
        <v>7</v>
      </c>
      <c r="B11" s="9" t="s">
        <v>66</v>
      </c>
      <c r="C11" s="9" t="s">
        <v>80</v>
      </c>
      <c r="D11" s="9" t="s">
        <v>81</v>
      </c>
    </row>
    <row r="12" spans="1:4" ht="199.5" customHeight="1" x14ac:dyDescent="0.25">
      <c r="A12" s="9">
        <v>8</v>
      </c>
      <c r="B12" s="9" t="s">
        <v>66</v>
      </c>
      <c r="C12" s="9" t="s">
        <v>82</v>
      </c>
      <c r="D12" s="9" t="s">
        <v>83</v>
      </c>
    </row>
    <row r="13" spans="1:4" ht="109.5" customHeight="1" x14ac:dyDescent="0.25">
      <c r="A13" s="9">
        <v>9</v>
      </c>
      <c r="B13" s="9" t="s">
        <v>66</v>
      </c>
      <c r="C13" s="9" t="s">
        <v>84</v>
      </c>
      <c r="D13" s="9" t="s">
        <v>85</v>
      </c>
    </row>
    <row r="14" spans="1:4" ht="199.5" customHeight="1" x14ac:dyDescent="0.25">
      <c r="A14" s="9">
        <v>10</v>
      </c>
      <c r="B14" s="9" t="s">
        <v>66</v>
      </c>
      <c r="C14" s="9" t="s">
        <v>86</v>
      </c>
      <c r="D14" s="9" t="s">
        <v>87</v>
      </c>
    </row>
  </sheetData>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2" tint="-0.14999847407452621"/>
  </sheetPr>
  <dimension ref="A1:G48"/>
  <sheetViews>
    <sheetView showGridLines="0" tabSelected="1" zoomScale="85" zoomScaleNormal="85" workbookViewId="0">
      <pane xSplit="1" ySplit="4" topLeftCell="B38" activePane="bottomRight" state="frozen"/>
      <selection pane="topRight" activeCell="B1" sqref="B1"/>
      <selection pane="bottomLeft" activeCell="A5" sqref="A5"/>
      <selection pane="bottomRight" activeCell="A2" sqref="A2:F2"/>
    </sheetView>
  </sheetViews>
  <sheetFormatPr defaultColWidth="8.7109375" defaultRowHeight="15" x14ac:dyDescent="0.25"/>
  <cols>
    <col min="1" max="1" width="9" customWidth="1"/>
    <col min="2" max="2" width="40" customWidth="1"/>
    <col min="3" max="3" width="24" customWidth="1"/>
    <col min="4" max="4" width="28.85546875" customWidth="1"/>
    <col min="5" max="5" width="24" customWidth="1"/>
    <col min="6" max="6" width="45" customWidth="1"/>
    <col min="7" max="7" width="38" customWidth="1"/>
  </cols>
  <sheetData>
    <row r="1" spans="1:7" ht="15.75" customHeight="1" x14ac:dyDescent="0.25">
      <c r="A1" s="2" t="s">
        <v>443</v>
      </c>
    </row>
    <row r="2" spans="1:7" ht="75" customHeight="1" x14ac:dyDescent="0.25">
      <c r="A2" s="36" t="s">
        <v>444</v>
      </c>
      <c r="B2" s="36"/>
      <c r="C2" s="36"/>
      <c r="D2" s="36"/>
      <c r="E2" s="36"/>
      <c r="F2" s="36"/>
    </row>
    <row r="4" spans="1:7" ht="15" customHeight="1" x14ac:dyDescent="0.25">
      <c r="A4" s="17" t="s">
        <v>1</v>
      </c>
      <c r="B4" s="17" t="s">
        <v>408</v>
      </c>
      <c r="C4" s="17" t="s">
        <v>445</v>
      </c>
      <c r="D4" s="17" t="s">
        <v>446</v>
      </c>
      <c r="E4" s="17" t="s">
        <v>447</v>
      </c>
      <c r="F4" s="17" t="s">
        <v>88</v>
      </c>
      <c r="G4" s="17" t="s">
        <v>448</v>
      </c>
    </row>
    <row r="5" spans="1:7" s="32" customFormat="1" ht="28.5" x14ac:dyDescent="0.25">
      <c r="A5" s="29">
        <v>8024</v>
      </c>
      <c r="B5" s="30" t="s">
        <v>414</v>
      </c>
      <c r="C5" s="29" t="str">
        <f>INDEX('Labeler 2'!$C$2:$C$181,MATCH(A5,'Labeler 2'!$A$2:$A$181,0))</f>
        <v>Money transfer or service</v>
      </c>
      <c r="D5" s="31" t="s">
        <v>71</v>
      </c>
      <c r="E5" s="31"/>
      <c r="F5" s="31" t="s">
        <v>459</v>
      </c>
      <c r="G5" s="30" t="s">
        <v>450</v>
      </c>
    </row>
    <row r="6" spans="1:7" s="32" customFormat="1" ht="128.25" x14ac:dyDescent="0.25">
      <c r="A6" s="29">
        <v>8044</v>
      </c>
      <c r="B6" s="30" t="s">
        <v>473</v>
      </c>
      <c r="C6" s="29" t="str">
        <f>INDEX('Labeler 2'!$C$2:$C$181,MATCH(A6,'Labeler 2'!$A$2:$A$181,0))</f>
        <v>Consumer loan</v>
      </c>
      <c r="D6" s="31" t="s">
        <v>71</v>
      </c>
      <c r="E6" s="33"/>
      <c r="F6" s="31" t="s">
        <v>476</v>
      </c>
      <c r="G6" s="30" t="s">
        <v>475</v>
      </c>
    </row>
    <row r="7" spans="1:7" s="32" customFormat="1" ht="28.5" x14ac:dyDescent="0.25">
      <c r="A7" s="30">
        <v>8128</v>
      </c>
      <c r="B7" s="30" t="s">
        <v>433</v>
      </c>
      <c r="C7" s="30" t="str">
        <f>INDEX('Labeler 2'!$C$2:$C$181,MATCH(A7,'Labeler 2'!$A$2:$A$181,0))</f>
        <v>Consumer loan</v>
      </c>
      <c r="D7" s="31" t="s">
        <v>71</v>
      </c>
      <c r="E7" s="31"/>
      <c r="F7" s="31" t="s">
        <v>494</v>
      </c>
      <c r="G7" s="30" t="s">
        <v>492</v>
      </c>
    </row>
    <row r="8" spans="1:7" s="32" customFormat="1" ht="42.75" x14ac:dyDescent="0.25">
      <c r="A8" s="29">
        <v>8142</v>
      </c>
      <c r="B8" s="30" t="s">
        <v>425</v>
      </c>
      <c r="C8" s="29" t="str">
        <f>INDEX('Labeler 2'!$C$2:$C$181,MATCH(A8,'Labeler 2'!$A$2:$A$181,0))</f>
        <v>Money transfer or service</v>
      </c>
      <c r="D8" s="31" t="s">
        <v>429</v>
      </c>
      <c r="E8" s="31" t="s">
        <v>23</v>
      </c>
      <c r="F8" s="31" t="s">
        <v>449</v>
      </c>
      <c r="G8" s="30" t="s">
        <v>450</v>
      </c>
    </row>
    <row r="9" spans="1:7" s="32" customFormat="1" ht="114" x14ac:dyDescent="0.25">
      <c r="A9" s="29">
        <v>8207</v>
      </c>
      <c r="B9" s="30" t="s">
        <v>414</v>
      </c>
      <c r="C9" s="29" t="str">
        <f>INDEX('Labeler 2'!$C$2:$C$181,MATCH(A9,'Labeler 2'!$A$2:$A$181,0))</f>
        <v>Money transfer or service</v>
      </c>
      <c r="D9" s="31" t="s">
        <v>71</v>
      </c>
      <c r="E9" s="33"/>
      <c r="F9" s="31" t="s">
        <v>461</v>
      </c>
      <c r="G9" s="30" t="s">
        <v>450</v>
      </c>
    </row>
    <row r="10" spans="1:7" s="32" customFormat="1" ht="57" x14ac:dyDescent="0.25">
      <c r="A10" s="30">
        <v>8245</v>
      </c>
      <c r="B10" s="30" t="s">
        <v>439</v>
      </c>
      <c r="C10" s="29" t="str">
        <f>INDEX('Labeler 2'!$C$2:$C$181,MATCH(A10,'Labeler 2'!$A$2:$A$181,0))</f>
        <v>Credit reporting</v>
      </c>
      <c r="D10" s="31" t="s">
        <v>71</v>
      </c>
      <c r="E10" s="31"/>
      <c r="F10" s="31" t="s">
        <v>487</v>
      </c>
      <c r="G10" s="30" t="s">
        <v>478</v>
      </c>
    </row>
    <row r="11" spans="1:7" s="32" customFormat="1" ht="128.25" x14ac:dyDescent="0.25">
      <c r="A11" s="29">
        <v>8263</v>
      </c>
      <c r="B11" s="30" t="s">
        <v>427</v>
      </c>
      <c r="C11" s="29" t="str">
        <f>INDEX('Labeler 2'!$C$2:$C$181,MATCH(A11,'Labeler 2'!$A$2:$A$181,0))</f>
        <v>Debt collection</v>
      </c>
      <c r="D11" s="31" t="s">
        <v>71</v>
      </c>
      <c r="E11" s="33"/>
      <c r="F11" s="31" t="s">
        <v>467</v>
      </c>
      <c r="G11" s="30" t="s">
        <v>450</v>
      </c>
    </row>
    <row r="12" spans="1:7" s="32" customFormat="1" ht="42.75" x14ac:dyDescent="0.25">
      <c r="A12" s="29">
        <v>8301</v>
      </c>
      <c r="B12" s="30" t="s">
        <v>427</v>
      </c>
      <c r="C12" s="29" t="str">
        <f>INDEX('Labeler 2'!$C$2:$C$181,MATCH(A12,'Labeler 2'!$A$2:$A$181,0))</f>
        <v>Credit reporting</v>
      </c>
      <c r="D12" s="31" t="s">
        <v>71</v>
      </c>
      <c r="E12" s="33"/>
      <c r="F12" s="31" t="s">
        <v>466</v>
      </c>
      <c r="G12" s="30" t="s">
        <v>450</v>
      </c>
    </row>
    <row r="13" spans="1:7" s="32" customFormat="1" ht="28.5" x14ac:dyDescent="0.25">
      <c r="A13" s="29">
        <v>8326</v>
      </c>
      <c r="B13" s="30" t="s">
        <v>427</v>
      </c>
      <c r="C13" s="29" t="str">
        <f>INDEX('Labeler 2'!$C$2:$C$181,MATCH(A13,'Labeler 2'!$A$2:$A$181,0))</f>
        <v>Credit reporting</v>
      </c>
      <c r="D13" s="31" t="s">
        <v>71</v>
      </c>
      <c r="E13" s="33"/>
      <c r="F13" s="31" t="s">
        <v>464</v>
      </c>
      <c r="G13" s="30" t="s">
        <v>450</v>
      </c>
    </row>
    <row r="14" spans="1:7" s="32" customFormat="1" ht="28.5" x14ac:dyDescent="0.25">
      <c r="A14" s="30">
        <v>8359</v>
      </c>
      <c r="B14" s="30" t="s">
        <v>433</v>
      </c>
      <c r="C14" s="30" t="str">
        <f>INDEX('Labeler 2'!$C$2:$C$181,MATCH(A14,'Labeler 2'!$A$2:$A$181,0))</f>
        <v>Consumer loan</v>
      </c>
      <c r="D14" s="31" t="s">
        <v>71</v>
      </c>
      <c r="E14" s="31"/>
      <c r="F14" s="31" t="s">
        <v>493</v>
      </c>
      <c r="G14" s="30" t="s">
        <v>492</v>
      </c>
    </row>
    <row r="15" spans="1:7" s="32" customFormat="1" ht="85.5" x14ac:dyDescent="0.25">
      <c r="A15" s="30">
        <v>8372</v>
      </c>
      <c r="B15" s="30" t="s">
        <v>483</v>
      </c>
      <c r="C15" s="29" t="str">
        <f>INDEX('Labeler 2'!$C$2:$C$181,MATCH(A15,'Labeler 2'!$A$2:$A$181,0))</f>
        <v>Bank account or service</v>
      </c>
      <c r="D15" s="31" t="s">
        <v>71</v>
      </c>
      <c r="E15" s="34"/>
      <c r="F15" s="31" t="s">
        <v>504</v>
      </c>
      <c r="G15" s="30" t="s">
        <v>502</v>
      </c>
    </row>
    <row r="16" spans="1:7" s="32" customFormat="1" ht="128.25" x14ac:dyDescent="0.25">
      <c r="A16" s="30">
        <v>8379</v>
      </c>
      <c r="B16" s="30" t="s">
        <v>483</v>
      </c>
      <c r="C16" s="29" t="str">
        <f>INDEX('Labeler 2'!$C$2:$C$181,MATCH(A16,'Labeler 2'!$A$2:$A$181,0))</f>
        <v>Credit card</v>
      </c>
      <c r="D16" s="31" t="s">
        <v>71</v>
      </c>
      <c r="E16" s="31"/>
      <c r="F16" s="31" t="s">
        <v>484</v>
      </c>
      <c r="G16" s="30" t="s">
        <v>485</v>
      </c>
    </row>
    <row r="17" spans="1:7" s="32" customFormat="1" ht="42.75" x14ac:dyDescent="0.25">
      <c r="A17" s="29">
        <v>8382</v>
      </c>
      <c r="B17" s="30" t="s">
        <v>427</v>
      </c>
      <c r="C17" s="29" t="str">
        <f>INDEX('Labeler 2'!$C$2:$C$181,MATCH(A17,'Labeler 2'!$A$2:$A$181,0))</f>
        <v>Debt collection</v>
      </c>
      <c r="D17" s="31" t="s">
        <v>71</v>
      </c>
      <c r="E17" s="33"/>
      <c r="F17" s="31" t="s">
        <v>462</v>
      </c>
      <c r="G17" s="30" t="s">
        <v>450</v>
      </c>
    </row>
    <row r="18" spans="1:7" s="32" customFormat="1" ht="156.75" x14ac:dyDescent="0.25">
      <c r="A18" s="29">
        <v>8384</v>
      </c>
      <c r="B18" s="30" t="s">
        <v>473</v>
      </c>
      <c r="C18" s="29" t="str">
        <f>INDEX('Labeler 2'!$C$2:$C$181,MATCH(A18,'Labeler 2'!$A$2:$A$181,0))</f>
        <v>Credit reporting</v>
      </c>
      <c r="D18" s="31" t="s">
        <v>71</v>
      </c>
      <c r="E18" s="33"/>
      <c r="F18" s="31" t="s">
        <v>474</v>
      </c>
      <c r="G18" s="30" t="s">
        <v>475</v>
      </c>
    </row>
    <row r="19" spans="1:7" s="32" customFormat="1" ht="42.75" x14ac:dyDescent="0.25">
      <c r="A19" s="29">
        <v>8418</v>
      </c>
      <c r="B19" s="30" t="s">
        <v>427</v>
      </c>
      <c r="C19" s="29" t="str">
        <f>INDEX('Labeler 2'!$C$2:$C$181,MATCH(A19,'Labeler 2'!$A$2:$A$181,0))</f>
        <v>Credit reporting</v>
      </c>
      <c r="D19" s="31" t="s">
        <v>71</v>
      </c>
      <c r="E19" s="33"/>
      <c r="F19" s="31" t="s">
        <v>465</v>
      </c>
      <c r="G19" s="30" t="s">
        <v>450</v>
      </c>
    </row>
    <row r="20" spans="1:7" s="32" customFormat="1" ht="42.75" x14ac:dyDescent="0.25">
      <c r="A20" s="29">
        <v>8433</v>
      </c>
      <c r="B20" s="30" t="s">
        <v>439</v>
      </c>
      <c r="C20" s="29" t="str">
        <f>INDEX('Labeler 2'!$C$2:$C$181,MATCH(A20,'Labeler 2'!$A$2:$A$181,0))</f>
        <v>Credit reporting</v>
      </c>
      <c r="D20" s="31" t="s">
        <v>71</v>
      </c>
      <c r="E20" s="33"/>
      <c r="F20" s="31" t="s">
        <v>471</v>
      </c>
      <c r="G20" s="30" t="s">
        <v>450</v>
      </c>
    </row>
    <row r="21" spans="1:7" s="32" customFormat="1" ht="185.25" x14ac:dyDescent="0.25">
      <c r="A21" s="29">
        <v>8449</v>
      </c>
      <c r="B21" s="30" t="s">
        <v>436</v>
      </c>
      <c r="C21" s="29" t="str">
        <f>INDEX('Labeler 2'!$C$2:$C$181,MATCH(A21,'Labeler 2'!$A$2:$A$181,0))</f>
        <v>Bank account or service</v>
      </c>
      <c r="D21" s="31" t="s">
        <v>71</v>
      </c>
      <c r="E21" s="33"/>
      <c r="F21" s="31" t="s">
        <v>453</v>
      </c>
      <c r="G21" s="30" t="s">
        <v>454</v>
      </c>
    </row>
    <row r="22" spans="1:7" s="32" customFormat="1" ht="42.75" x14ac:dyDescent="0.25">
      <c r="A22" s="29">
        <v>8470</v>
      </c>
      <c r="B22" s="30" t="s">
        <v>425</v>
      </c>
      <c r="C22" s="29" t="str">
        <f>INDEX('Labeler 2'!$C$2:$C$181,MATCH(A22,'Labeler 2'!$A$2:$A$181,0))</f>
        <v>Bank account or service</v>
      </c>
      <c r="D22" s="31" t="s">
        <v>71</v>
      </c>
      <c r="E22" s="31"/>
      <c r="F22" s="31" t="s">
        <v>452</v>
      </c>
      <c r="G22" s="30" t="s">
        <v>450</v>
      </c>
    </row>
    <row r="23" spans="1:7" s="32" customFormat="1" ht="57" x14ac:dyDescent="0.25">
      <c r="A23" s="30">
        <v>8487</v>
      </c>
      <c r="B23" s="30" t="s">
        <v>439</v>
      </c>
      <c r="C23" s="29" t="str">
        <f>INDEX('Labeler 2'!$C$2:$C$181,MATCH(A23,'Labeler 2'!$A$2:$A$181,0))</f>
        <v>Credit reporting</v>
      </c>
      <c r="D23" s="31" t="s">
        <v>71</v>
      </c>
      <c r="E23" s="31"/>
      <c r="F23" s="31" t="s">
        <v>486</v>
      </c>
      <c r="G23" s="30" t="s">
        <v>478</v>
      </c>
    </row>
    <row r="24" spans="1:7" s="32" customFormat="1" ht="85.5" x14ac:dyDescent="0.25">
      <c r="A24" s="30">
        <v>8549</v>
      </c>
      <c r="B24" s="30" t="s">
        <v>483</v>
      </c>
      <c r="C24" s="29" t="str">
        <f>INDEX('Labeler 2'!$C$2:$C$181,MATCH(A24,'Labeler 2'!$A$2:$A$181,0))</f>
        <v>Credit card</v>
      </c>
      <c r="D24" s="31" t="s">
        <v>71</v>
      </c>
      <c r="E24" s="34"/>
      <c r="F24" s="31" t="s">
        <v>503</v>
      </c>
      <c r="G24" s="30" t="s">
        <v>502</v>
      </c>
    </row>
    <row r="25" spans="1:7" s="32" customFormat="1" ht="42.75" x14ac:dyDescent="0.25">
      <c r="A25" s="29">
        <v>8563</v>
      </c>
      <c r="B25" s="30" t="s">
        <v>433</v>
      </c>
      <c r="C25" s="29" t="str">
        <f>INDEX('Labeler 2'!$C$2:$C$181,MATCH(A25,'Labeler 2'!$A$2:$A$181,0))</f>
        <v>Consumer loan</v>
      </c>
      <c r="D25" s="31" t="s">
        <v>71</v>
      </c>
      <c r="E25" s="33"/>
      <c r="F25" s="31" t="s">
        <v>469</v>
      </c>
      <c r="G25" s="30" t="s">
        <v>450</v>
      </c>
    </row>
    <row r="26" spans="1:7" s="32" customFormat="1" ht="42.75" x14ac:dyDescent="0.25">
      <c r="A26" s="29">
        <v>8578</v>
      </c>
      <c r="B26" s="30" t="s">
        <v>414</v>
      </c>
      <c r="C26" s="29" t="str">
        <f>INDEX('Labeler 2'!$C$2:$C$181,MATCH(A26,'Labeler 2'!$A$2:$A$181,0))</f>
        <v>Money transfer or service</v>
      </c>
      <c r="D26" s="31" t="s">
        <v>71</v>
      </c>
      <c r="E26" s="31"/>
      <c r="F26" s="31" t="s">
        <v>455</v>
      </c>
      <c r="G26" s="30" t="s">
        <v>450</v>
      </c>
    </row>
    <row r="27" spans="1:7" s="32" customFormat="1" ht="128.25" x14ac:dyDescent="0.25">
      <c r="A27" s="30">
        <v>8585</v>
      </c>
      <c r="B27" s="30" t="s">
        <v>483</v>
      </c>
      <c r="C27" s="29" t="str">
        <f>INDEX('Labeler 2'!$C$2:$C$181,MATCH(A27,'Labeler 2'!$A$2:$A$181,0))</f>
        <v>Credit card</v>
      </c>
      <c r="D27" s="31" t="s">
        <v>71</v>
      </c>
      <c r="E27" s="34"/>
      <c r="F27" s="31" t="s">
        <v>501</v>
      </c>
      <c r="G27" s="30" t="s">
        <v>502</v>
      </c>
    </row>
    <row r="28" spans="1:7" s="32" customFormat="1" ht="128.25" x14ac:dyDescent="0.25">
      <c r="A28" s="30">
        <v>8597</v>
      </c>
      <c r="B28" s="30" t="s">
        <v>439</v>
      </c>
      <c r="C28" s="29" t="str">
        <f>INDEX('Labeler 2'!$C$2:$C$181,MATCH(A28,'Labeler 2'!$A$2:$A$181,0))</f>
        <v>Money transfer or service</v>
      </c>
      <c r="D28" s="31" t="s">
        <v>429</v>
      </c>
      <c r="E28" s="31" t="s">
        <v>23</v>
      </c>
      <c r="F28" s="31" t="s">
        <v>497</v>
      </c>
      <c r="G28" s="30" t="s">
        <v>498</v>
      </c>
    </row>
    <row r="29" spans="1:7" s="32" customFormat="1" ht="28.5" x14ac:dyDescent="0.25">
      <c r="A29" s="29">
        <v>8603</v>
      </c>
      <c r="B29" s="30" t="s">
        <v>425</v>
      </c>
      <c r="C29" s="29" t="str">
        <f>INDEX('Labeler 2'!$C$2:$C$181,MATCH(A29,'Labeler 2'!$A$2:$A$181,0))</f>
        <v>Bank account or service</v>
      </c>
      <c r="D29" s="31" t="s">
        <v>71</v>
      </c>
      <c r="E29" s="31"/>
      <c r="F29" s="31" t="s">
        <v>451</v>
      </c>
      <c r="G29" s="30" t="s">
        <v>450</v>
      </c>
    </row>
    <row r="30" spans="1:7" s="32" customFormat="1" ht="28.5" x14ac:dyDescent="0.25">
      <c r="A30" s="29">
        <v>8615</v>
      </c>
      <c r="B30" s="30" t="s">
        <v>425</v>
      </c>
      <c r="C30" s="29" t="str">
        <f>INDEX('Labeler 2'!$C$2:$C$181,MATCH(A30,'Labeler 2'!$A$2:$A$181,0))</f>
        <v>Money transfer or service</v>
      </c>
      <c r="D30" s="31" t="s">
        <v>71</v>
      </c>
      <c r="E30" s="31"/>
      <c r="F30" s="31" t="s">
        <v>456</v>
      </c>
      <c r="G30" s="30" t="s">
        <v>450</v>
      </c>
    </row>
    <row r="31" spans="1:7" s="32" customFormat="1" ht="42.75" x14ac:dyDescent="0.25">
      <c r="A31" s="30">
        <v>8644</v>
      </c>
      <c r="B31" s="30" t="s">
        <v>433</v>
      </c>
      <c r="C31" s="30" t="str">
        <f>INDEX('Labeler 2'!$C$2:$C$181,MATCH(A31,'Labeler 2'!$A$2:$A$181,0))</f>
        <v>Consumer loan</v>
      </c>
      <c r="D31" s="31" t="s">
        <v>71</v>
      </c>
      <c r="E31" s="31"/>
      <c r="F31" s="31" t="s">
        <v>495</v>
      </c>
      <c r="G31" s="30" t="s">
        <v>492</v>
      </c>
    </row>
    <row r="32" spans="1:7" s="32" customFormat="1" ht="85.5" x14ac:dyDescent="0.25">
      <c r="A32" s="30">
        <v>8649</v>
      </c>
      <c r="B32" s="30" t="s">
        <v>414</v>
      </c>
      <c r="C32" s="29" t="str">
        <f>INDEX('Labeler 2'!$C$2:$C$181,MATCH(A32,'Labeler 2'!$A$2:$A$181,0))</f>
        <v>Money transfer or service</v>
      </c>
      <c r="D32" s="31" t="s">
        <v>71</v>
      </c>
      <c r="E32" s="31"/>
      <c r="F32" s="31" t="s">
        <v>477</v>
      </c>
      <c r="G32" s="30" t="s">
        <v>478</v>
      </c>
    </row>
    <row r="33" spans="1:7" s="32" customFormat="1" ht="42.75" x14ac:dyDescent="0.25">
      <c r="A33" s="30">
        <v>8722</v>
      </c>
      <c r="B33" s="30" t="s">
        <v>439</v>
      </c>
      <c r="C33" s="29" t="str">
        <f>INDEX('Labeler 2'!$C$2:$C$181,MATCH(A33,'Labeler 2'!$A$2:$A$181,0))</f>
        <v>Credit card</v>
      </c>
      <c r="D33" s="31" t="s">
        <v>71</v>
      </c>
      <c r="E33" s="31"/>
      <c r="F33" s="31" t="s">
        <v>488</v>
      </c>
      <c r="G33" s="30" t="s">
        <v>485</v>
      </c>
    </row>
    <row r="34" spans="1:7" s="32" customFormat="1" ht="42.75" x14ac:dyDescent="0.25">
      <c r="A34" s="30">
        <v>8733</v>
      </c>
      <c r="B34" s="30" t="s">
        <v>433</v>
      </c>
      <c r="C34" s="30" t="str">
        <f>INDEX('Labeler 2'!$C$2:$C$181,MATCH(A34,'Labeler 2'!$A$2:$A$181,0))</f>
        <v>Consumer loan</v>
      </c>
      <c r="D34" s="31" t="s">
        <v>71</v>
      </c>
      <c r="E34" s="31"/>
      <c r="F34" s="31" t="s">
        <v>491</v>
      </c>
      <c r="G34" s="30" t="s">
        <v>492</v>
      </c>
    </row>
    <row r="35" spans="1:7" s="32" customFormat="1" ht="42.75" x14ac:dyDescent="0.25">
      <c r="A35" s="29">
        <v>8745</v>
      </c>
      <c r="B35" s="30" t="s">
        <v>433</v>
      </c>
      <c r="C35" s="29" t="str">
        <f>INDEX('Labeler 2'!$C$2:$C$181,MATCH(A35,'Labeler 2'!$A$2:$A$181,0))</f>
        <v>Consumer loan</v>
      </c>
      <c r="D35" s="31" t="s">
        <v>71</v>
      </c>
      <c r="E35" s="33"/>
      <c r="F35" s="31" t="s">
        <v>468</v>
      </c>
      <c r="G35" s="30" t="s">
        <v>450</v>
      </c>
    </row>
    <row r="36" spans="1:7" s="32" customFormat="1" ht="85.5" x14ac:dyDescent="0.25">
      <c r="A36" s="30">
        <v>8771</v>
      </c>
      <c r="B36" s="30" t="s">
        <v>414</v>
      </c>
      <c r="C36" s="29" t="str">
        <f>INDEX('Labeler 2'!$C$2:$C$181,MATCH(A36,'Labeler 2'!$A$2:$A$181,0))</f>
        <v>Money transfer or service</v>
      </c>
      <c r="D36" s="31" t="s">
        <v>71</v>
      </c>
      <c r="E36" s="31"/>
      <c r="F36" s="31" t="s">
        <v>479</v>
      </c>
      <c r="G36" s="30" t="s">
        <v>478</v>
      </c>
    </row>
    <row r="37" spans="1:7" s="32" customFormat="1" ht="42.75" x14ac:dyDescent="0.25">
      <c r="A37" s="30">
        <v>8801</v>
      </c>
      <c r="B37" s="30" t="s">
        <v>439</v>
      </c>
      <c r="C37" s="29" t="str">
        <f>INDEX('Labeler 2'!$C$2:$C$181,MATCH(A37,'Labeler 2'!$A$2:$A$181,0))</f>
        <v>Bank account or service</v>
      </c>
      <c r="D37" s="31" t="s">
        <v>71</v>
      </c>
      <c r="E37" s="31"/>
      <c r="F37" s="31" t="s">
        <v>489</v>
      </c>
      <c r="G37" s="30" t="s">
        <v>478</v>
      </c>
    </row>
    <row r="38" spans="1:7" s="32" customFormat="1" ht="213.75" x14ac:dyDescent="0.25">
      <c r="A38" s="30">
        <v>8827</v>
      </c>
      <c r="B38" s="30" t="s">
        <v>480</v>
      </c>
      <c r="C38" s="29" t="str">
        <f>INDEX('Labeler 2'!$C$2:$C$181,MATCH(A38,'Labeler 2'!$A$2:$A$181,0))</f>
        <v>Bank account or service</v>
      </c>
      <c r="D38" s="31" t="s">
        <v>71</v>
      </c>
      <c r="E38" s="31"/>
      <c r="F38" s="31" t="s">
        <v>481</v>
      </c>
      <c r="G38" s="30" t="s">
        <v>482</v>
      </c>
    </row>
    <row r="39" spans="1:7" s="32" customFormat="1" ht="28.5" x14ac:dyDescent="0.25">
      <c r="A39" s="29">
        <v>8856</v>
      </c>
      <c r="B39" s="30" t="s">
        <v>425</v>
      </c>
      <c r="C39" s="29" t="str">
        <f>INDEX('Labeler 2'!$C$2:$C$181,MATCH(A39,'Labeler 2'!$A$2:$A$181,0))</f>
        <v>Money transfer or service</v>
      </c>
      <c r="D39" s="31" t="s">
        <v>71</v>
      </c>
      <c r="E39" s="31"/>
      <c r="F39" s="31" t="s">
        <v>458</v>
      </c>
      <c r="G39" s="30" t="s">
        <v>450</v>
      </c>
    </row>
    <row r="40" spans="1:7" s="32" customFormat="1" ht="28.5" x14ac:dyDescent="0.25">
      <c r="A40" s="29">
        <v>8878</v>
      </c>
      <c r="B40" s="30" t="s">
        <v>425</v>
      </c>
      <c r="C40" s="29" t="str">
        <f>INDEX('Labeler 2'!$C$2:$C$181,MATCH(A40,'Labeler 2'!$A$2:$A$181,0))</f>
        <v>Money transfer or service</v>
      </c>
      <c r="D40" s="31" t="s">
        <v>71</v>
      </c>
      <c r="E40" s="31"/>
      <c r="F40" s="31" t="s">
        <v>457</v>
      </c>
      <c r="G40" s="30" t="s">
        <v>450</v>
      </c>
    </row>
    <row r="41" spans="1:7" s="32" customFormat="1" ht="42.75" x14ac:dyDescent="0.25">
      <c r="A41" s="30">
        <v>8910</v>
      </c>
      <c r="B41" s="30" t="s">
        <v>433</v>
      </c>
      <c r="C41" s="30" t="str">
        <f>INDEX('Labeler 2'!$C$2:$C$181,MATCH(A41,'Labeler 2'!$A$2:$A$181,0))</f>
        <v>Consumer loan</v>
      </c>
      <c r="D41" s="31" t="s">
        <v>71</v>
      </c>
      <c r="E41" s="31"/>
      <c r="F41" s="31" t="s">
        <v>496</v>
      </c>
      <c r="G41" s="30" t="s">
        <v>492</v>
      </c>
    </row>
    <row r="42" spans="1:7" s="32" customFormat="1" ht="28.5" x14ac:dyDescent="0.25">
      <c r="A42" s="29">
        <v>8954</v>
      </c>
      <c r="B42" s="30" t="s">
        <v>425</v>
      </c>
      <c r="C42" s="29" t="str">
        <f>INDEX('Labeler 2'!$C$2:$C$181,MATCH(A42,'Labeler 2'!$A$2:$A$181,0))</f>
        <v>Bank account or service</v>
      </c>
      <c r="D42" s="31" t="s">
        <v>71</v>
      </c>
      <c r="E42" s="31"/>
      <c r="F42" s="31" t="s">
        <v>460</v>
      </c>
      <c r="G42" s="30" t="s">
        <v>450</v>
      </c>
    </row>
    <row r="43" spans="1:7" s="32" customFormat="1" ht="57" x14ac:dyDescent="0.25">
      <c r="A43" s="30">
        <v>8968</v>
      </c>
      <c r="B43" s="30" t="s">
        <v>439</v>
      </c>
      <c r="C43" s="29" t="str">
        <f>INDEX('Labeler 2'!$C$2:$C$181,MATCH(A43,'Labeler 2'!$A$2:$A$181,0))</f>
        <v>Bank account or service</v>
      </c>
      <c r="D43" s="31" t="s">
        <v>71</v>
      </c>
      <c r="E43" s="31"/>
      <c r="F43" s="31" t="s">
        <v>490</v>
      </c>
      <c r="G43" s="30" t="s">
        <v>478</v>
      </c>
    </row>
    <row r="44" spans="1:7" s="32" customFormat="1" ht="213.75" x14ac:dyDescent="0.25">
      <c r="A44" s="30">
        <v>8976</v>
      </c>
      <c r="B44" s="30" t="s">
        <v>473</v>
      </c>
      <c r="C44" s="29" t="str">
        <f>INDEX('Labeler 2'!$C$2:$C$181,MATCH(A44,'Labeler 2'!$A$2:$A$181,0))</f>
        <v>Credit reporting</v>
      </c>
      <c r="D44" s="31" t="s">
        <v>71</v>
      </c>
      <c r="E44" s="34"/>
      <c r="F44" s="31" t="s">
        <v>499</v>
      </c>
      <c r="G44" s="30" t="s">
        <v>500</v>
      </c>
    </row>
    <row r="45" spans="1:7" s="32" customFormat="1" ht="42.75" x14ac:dyDescent="0.25">
      <c r="A45" s="29">
        <v>8988</v>
      </c>
      <c r="B45" s="30" t="s">
        <v>427</v>
      </c>
      <c r="C45" s="29" t="str">
        <f>INDEX('Labeler 2'!$C$2:$C$181,MATCH(A45,'Labeler 2'!$A$2:$A$181,0))</f>
        <v>Credit reporting</v>
      </c>
      <c r="D45" s="31" t="s">
        <v>71</v>
      </c>
      <c r="E45" s="33"/>
      <c r="F45" s="31" t="s">
        <v>463</v>
      </c>
      <c r="G45" s="30" t="s">
        <v>450</v>
      </c>
    </row>
    <row r="46" spans="1:7" s="32" customFormat="1" ht="57" x14ac:dyDescent="0.25">
      <c r="A46" s="29">
        <v>8989</v>
      </c>
      <c r="B46" s="30" t="s">
        <v>439</v>
      </c>
      <c r="C46" s="29" t="str">
        <f>INDEX('Labeler 2'!$C$2:$C$181,MATCH(A46,'Labeler 2'!$A$2:$A$181,0))</f>
        <v>Credit card</v>
      </c>
      <c r="D46" s="31" t="s">
        <v>71</v>
      </c>
      <c r="E46" s="33"/>
      <c r="F46" s="31" t="s">
        <v>472</v>
      </c>
      <c r="G46" s="30" t="s">
        <v>450</v>
      </c>
    </row>
    <row r="47" spans="1:7" s="32" customFormat="1" ht="28.5" x14ac:dyDescent="0.25">
      <c r="A47" s="29">
        <v>8997</v>
      </c>
      <c r="B47" s="30" t="s">
        <v>425</v>
      </c>
      <c r="C47" s="29" t="str">
        <f>INDEX('Labeler 2'!$C$2:$C$181,MATCH(A47,'Labeler 2'!$A$2:$A$181,0))</f>
        <v>Money transfer or service</v>
      </c>
      <c r="D47" s="31" t="s">
        <v>71</v>
      </c>
      <c r="E47" s="31"/>
      <c r="F47" s="31" t="s">
        <v>456</v>
      </c>
      <c r="G47" s="30" t="s">
        <v>450</v>
      </c>
    </row>
    <row r="48" spans="1:7" s="32" customFormat="1" ht="57" x14ac:dyDescent="0.25">
      <c r="A48" s="29">
        <v>8999</v>
      </c>
      <c r="B48" s="30" t="s">
        <v>436</v>
      </c>
      <c r="C48" s="29" t="str">
        <f>INDEX('Labeler 2'!$C$2:$C$181,MATCH(A48,'Labeler 2'!$A$2:$A$181,0))</f>
        <v>Consumer loan</v>
      </c>
      <c r="D48" s="31" t="s">
        <v>71</v>
      </c>
      <c r="E48" s="33"/>
      <c r="F48" s="31" t="s">
        <v>470</v>
      </c>
      <c r="G48" s="30" t="s">
        <v>450</v>
      </c>
    </row>
  </sheetData>
  <autoFilter ref="A4:G4" xr:uid="{00000000-0001-0000-0800-000000000000}">
    <sortState xmlns:xlrd2="http://schemas.microsoft.com/office/spreadsheetml/2017/richdata2" ref="A5:G48">
      <sortCondition ref="A4"/>
    </sortState>
  </autoFilter>
  <mergeCells count="1">
    <mergeCell ref="A2:F2"/>
  </mergeCells>
  <dataValidations count="2">
    <dataValidation type="list" allowBlank="1" sqref="E5:E43" xr:uid="{00000000-0002-0000-0800-000000000000}">
      <formula1>"Credit reporting,Debt collection,Mortgage,Credit card,Bank account or service,Consumer loan,Money transfer or service"</formula1>
      <formula2>0</formula2>
    </dataValidation>
    <dataValidation type="list" allowBlank="1" sqref="D5:D43" xr:uid="{00000000-0002-0000-0800-000001000000}">
      <formula1>"Yes,No"</formula1>
      <formula2>0</formula2>
    </dataValidation>
  </dataValidation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Golden Set</vt:lpstr>
      <vt:lpstr>Protocol</vt:lpstr>
      <vt:lpstr>Labeler 1</vt:lpstr>
      <vt:lpstr>Labeler 2</vt:lpstr>
      <vt:lpstr>Agreement</vt:lpstr>
      <vt:lpstr>Resolution Log</vt:lpstr>
      <vt:lpstr>Revision Log</vt:lpstr>
      <vt:lpstr>Consistency Check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HAIMIRUL HAKIM BIN HAMIDI</cp:lastModifiedBy>
  <cp:revision>0</cp:revision>
  <dcterms:created xsi:type="dcterms:W3CDTF">2026-09-24T07:06:18Z</dcterms:created>
  <dcterms:modified xsi:type="dcterms:W3CDTF">2026-09-26T10:09:19Z</dcterms:modified>
  <dc:language>en-US</dc:language>
</cp:coreProperties>
</file>